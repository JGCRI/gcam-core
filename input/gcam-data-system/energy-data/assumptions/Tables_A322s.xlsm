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00000000-0000-0000-0000-000000000000}"/>
  <workbookPr showInkAnnotation="0" codeName="ThisWorkbook" autoCompressPictures="0"/>
  <bookViews>
    <workbookView xWindow="0" yWindow="0" windowWidth="25600" windowHeight="16060" tabRatio="684" activeTab="1"/>
  </bookViews>
  <sheets>
    <sheet name="A322.sector.csv" sheetId="5" r:id="rId1"/>
    <sheet name="A322.subsector_logit.csv" sheetId="4" r:id="rId2"/>
    <sheet name="A322.subsector_shrwt.csv" sheetId="16" r:id="rId3"/>
    <sheet name="A322.subsector_interp.csv" sheetId="14" r:id="rId4"/>
    <sheet name="A322.globaltech_coef.csv" sheetId="68" r:id="rId5"/>
    <sheet name="A322.globaltech_shrwt.csv" sheetId="23" r:id="rId6"/>
    <sheet name="A322.globaltech_co2capture.csv" sheetId="69" r:id="rId7"/>
    <sheet name="A322.globaltech_renew.csv" sheetId="70" r:id="rId8"/>
    <sheet name="A322.globaltech_retirement.csv" sheetId="71" r:id="rId9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5" i="71" l="1"/>
  <c r="G4" i="71"/>
  <c r="G3" i="71"/>
  <c r="G7" i="68"/>
  <c r="H7" i="68"/>
  <c r="G6" i="68"/>
  <c r="H6" i="68"/>
  <c r="G5" i="68"/>
  <c r="H5" i="68"/>
  <c r="G4" i="68"/>
  <c r="H4" i="68"/>
  <c r="G3" i="68"/>
  <c r="H3" i="68"/>
</calcChain>
</file>

<file path=xl/sharedStrings.xml><?xml version="1.0" encoding="utf-8"?>
<sst xmlns="http://schemas.openxmlformats.org/spreadsheetml/2006/main" count="210" uniqueCount="58">
  <si>
    <t>technology</t>
  </si>
  <si>
    <t>minicam.energy.input</t>
  </si>
  <si>
    <t>coal</t>
  </si>
  <si>
    <t>delivered coal</t>
  </si>
  <si>
    <t>wholesale gas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</si>
  <si>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</si>
  <si>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</si>
  <si>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</si>
  <si>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</si>
  <si>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</si>
  <si>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</si>
  <si>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</si>
  <si>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share.weight</t>
  </si>
  <si>
    <t>from.year</t>
  </si>
  <si>
    <t>to.year</t>
  </si>
  <si>
    <t>interpolation.function</t>
  </si>
  <si>
    <t>fixed</t>
  </si>
  <si>
    <t>start-year</t>
  </si>
  <si>
    <t>final-calibration-year</t>
  </si>
  <si>
    <t>end-year</t>
  </si>
  <si>
    <t>apply.to</t>
  </si>
  <si>
    <t>share-weight</t>
  </si>
  <si>
    <t>year.fillout</t>
  </si>
  <si>
    <t>year</t>
  </si>
  <si>
    <t>to.value</t>
  </si>
  <si>
    <t>refined liquids industrial</t>
  </si>
  <si>
    <t>gas</t>
  </si>
  <si>
    <t>refined liquids</t>
  </si>
  <si>
    <t>N fertilizer</t>
  </si>
  <si>
    <t>Mt N</t>
  </si>
  <si>
    <t>1975$/kgN</t>
  </si>
  <si>
    <t>Exports_fertilizer</t>
  </si>
  <si>
    <t># Fertilizer default subsector shareweights</t>
  </si>
  <si>
    <t>coal CCS</t>
  </si>
  <si>
    <t>gas CCS</t>
  </si>
  <si>
    <t>#Fertilizer CO2 capture rates</t>
  </si>
  <si>
    <t>linear</t>
  </si>
  <si>
    <t># Fertilizer default technology logit exponents</t>
  </si>
  <si>
    <t>Imports</t>
  </si>
  <si>
    <t># Fertilizer production default coefficients</t>
  </si>
  <si>
    <t># Fertilizer default subsector shareweight interpolation</t>
  </si>
  <si>
    <t># Fertilizer default supplysector information (units and logit exponents)</t>
  </si>
  <si>
    <t># Fertilizer default shareweights</t>
  </si>
  <si>
    <t># Renewable input to import technologies of fertilizer production</t>
  </si>
  <si>
    <t>renewable.input</t>
  </si>
  <si>
    <t>renewable</t>
  </si>
  <si>
    <t>final.energy</t>
  </si>
  <si>
    <t>industry</t>
  </si>
  <si>
    <t>lifetime</t>
  </si>
  <si>
    <t>shutdown.rate</t>
  </si>
  <si>
    <t>half.life</t>
  </si>
  <si>
    <t>steepness</t>
  </si>
  <si>
    <t>profit.shutdown</t>
  </si>
  <si>
    <t>electricity</t>
  </si>
  <si>
    <t>geothermal</t>
  </si>
  <si>
    <t>initial-future-year</t>
  </si>
  <si>
    <t># Fertilizer technology retirement parameters</t>
  </si>
  <si>
    <t>logit.type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</si>
</sst>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8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NumberFormat="1"/>
    <xf numFmtId="164" fontId="0" fillId="0" borderId="0" xfId="0" applyNumberFormat="1"/>
  </cellXfs>
  <cellStyles count="178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4"/>
  <sheetViews>
    <sheetView zoomScale="150" zoomScaleNormal="150" zoomScalePageLayoutView="150" workbookViewId="0">
      <selection activeCell="G3" sqref="G3"/>
    </sheetView>
  </sheetViews>
  <sheetFormatPr baseColWidth="10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3.1640625" bestFit="1" customWidth="1"/>
  </cols>
  <sheetData>
    <row r="1" spans="1:7">
      <c r="A1" t="s">
        <v>41</v>
      </c>
    </row>
    <row r="2" spans="1:7">
      <c r="A2" t="s">
        <v>5</v>
      </c>
      <c r="B2" t="s">
        <v>9</v>
      </c>
      <c r="C2" t="s">
        <v>8</v>
      </c>
      <c r="D2" t="s">
        <v>10</v>
      </c>
      <c r="E2" t="s">
        <v>7</v>
      </c>
      <c r="F2" t="s">
        <v>46</v>
      </c>
      <c r="G2" t="s">
        <v>57</v>
      </c>
    </row>
    <row r="3" spans="1:7">
      <c r="A3" t="s">
        <v>28</v>
      </c>
      <c r="B3" t="s">
        <v>29</v>
      </c>
      <c r="C3" t="s">
        <v>11</v>
      </c>
      <c r="D3" t="s">
        <v>30</v>
      </c>
      <c r="E3">
        <v>-3</v>
      </c>
      <c r="F3" t="s">
        <v>47</v>
      </c>
    </row>
    <row r="4" spans="1:7">
      <c r="A4" t="s">
        <v>31</v>
      </c>
      <c r="B4" t="s">
        <v>29</v>
      </c>
      <c r="C4" t="s">
        <v>29</v>
      </c>
      <c r="D4" t="s">
        <v>30</v>
      </c>
      <c r="E4">
        <v>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7"/>
  <sheetViews>
    <sheetView tabSelected="1" zoomScale="150" zoomScaleNormal="150" zoomScalePageLayoutView="150" workbookViewId="0">
      <selection activeCell="D3" sqref="D3"/>
    </sheetView>
  </sheetViews>
  <sheetFormatPr baseColWidth="10" defaultRowHeight="15" x14ac:dyDescent="0"/>
  <cols>
    <col min="1" max="1" width="19.33203125" customWidth="1"/>
    <col min="2" max="2" width="12.83203125" bestFit="1" customWidth="1"/>
    <col min="3" max="3" width="13.1640625" bestFit="1" customWidth="1"/>
  </cols>
  <sheetData>
    <row r="1" spans="1:4">
      <c r="A1" t="s">
        <v>37</v>
      </c>
    </row>
    <row r="2" spans="1:4">
      <c r="A2" t="s">
        <v>5</v>
      </c>
      <c r="B2" t="s">
        <v>6</v>
      </c>
      <c r="C2" t="s">
        <v>7</v>
      </c>
      <c r="D2" t="s">
        <v>57</v>
      </c>
    </row>
    <row r="3" spans="1:4">
      <c r="A3" t="s">
        <v>28</v>
      </c>
      <c r="B3" t="s">
        <v>2</v>
      </c>
      <c r="C3">
        <v>-12</v>
      </c>
    </row>
    <row r="4" spans="1:4">
      <c r="A4" t="s">
        <v>28</v>
      </c>
      <c r="B4" t="s">
        <v>26</v>
      </c>
      <c r="C4">
        <v>-12</v>
      </c>
    </row>
    <row r="5" spans="1:4">
      <c r="A5" t="s">
        <v>28</v>
      </c>
      <c r="B5" t="s">
        <v>27</v>
      </c>
      <c r="C5">
        <v>-12</v>
      </c>
    </row>
    <row r="6" spans="1:4">
      <c r="A6" t="s">
        <v>28</v>
      </c>
      <c r="B6" t="s">
        <v>38</v>
      </c>
      <c r="C6">
        <v>-6</v>
      </c>
    </row>
    <row r="7" spans="1:4">
      <c r="A7" t="s">
        <v>31</v>
      </c>
      <c r="B7" t="s">
        <v>28</v>
      </c>
      <c r="C7">
        <v>-12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8"/>
  <sheetViews>
    <sheetView zoomScale="150" zoomScaleNormal="150" zoomScalePageLayoutView="150" workbookViewId="0">
      <selection activeCell="B4" sqref="B4"/>
    </sheetView>
  </sheetViews>
  <sheetFormatPr baseColWidth="10" defaultRowHeight="15" x14ac:dyDescent="0"/>
  <cols>
    <col min="1" max="1" width="18.83203125" customWidth="1"/>
    <col min="2" max="2" width="12.83203125" bestFit="1" customWidth="1"/>
    <col min="3" max="3" width="10.1640625" bestFit="1" customWidth="1"/>
    <col min="4" max="4" width="4.83203125" bestFit="1" customWidth="1"/>
    <col min="5" max="5" width="11.83203125" bestFit="1" customWidth="1"/>
  </cols>
  <sheetData>
    <row r="1" spans="1:5">
      <c r="A1" t="s">
        <v>32</v>
      </c>
    </row>
    <row r="2" spans="1:5">
      <c r="A2" t="s">
        <v>5</v>
      </c>
      <c r="B2" t="s">
        <v>6</v>
      </c>
      <c r="C2" t="s">
        <v>22</v>
      </c>
      <c r="D2" t="s">
        <v>23</v>
      </c>
      <c r="E2" t="s">
        <v>12</v>
      </c>
    </row>
    <row r="3" spans="1:5">
      <c r="A3" t="s">
        <v>28</v>
      </c>
      <c r="B3" t="s">
        <v>2</v>
      </c>
      <c r="C3" t="s">
        <v>17</v>
      </c>
      <c r="E3">
        <v>1</v>
      </c>
    </row>
    <row r="4" spans="1:5">
      <c r="A4" t="s">
        <v>28</v>
      </c>
      <c r="B4" t="s">
        <v>26</v>
      </c>
      <c r="C4" t="s">
        <v>17</v>
      </c>
      <c r="E4">
        <v>1</v>
      </c>
    </row>
    <row r="5" spans="1:5">
      <c r="A5" t="s">
        <v>28</v>
      </c>
      <c r="B5" t="s">
        <v>27</v>
      </c>
      <c r="C5" t="s">
        <v>17</v>
      </c>
      <c r="E5">
        <v>1</v>
      </c>
    </row>
    <row r="6" spans="1:5">
      <c r="A6" t="s">
        <v>28</v>
      </c>
      <c r="B6" t="s">
        <v>27</v>
      </c>
      <c r="C6">
        <v>2035</v>
      </c>
      <c r="E6">
        <v>0</v>
      </c>
    </row>
    <row r="7" spans="1:5">
      <c r="A7" t="s">
        <v>28</v>
      </c>
      <c r="B7" t="s">
        <v>38</v>
      </c>
      <c r="C7" t="s">
        <v>17</v>
      </c>
      <c r="E7">
        <v>0</v>
      </c>
    </row>
    <row r="8" spans="1:5">
      <c r="A8" t="s">
        <v>31</v>
      </c>
      <c r="B8" t="s">
        <v>28</v>
      </c>
      <c r="C8" t="s">
        <v>17</v>
      </c>
      <c r="E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7"/>
  <sheetViews>
    <sheetView zoomScale="150" zoomScaleNormal="150" zoomScalePageLayoutView="150" workbookViewId="0">
      <selection activeCell="B10" sqref="B10"/>
    </sheetView>
  </sheetViews>
  <sheetFormatPr baseColWidth="10" defaultRowHeight="15" x14ac:dyDescent="0"/>
  <cols>
    <col min="1" max="1" width="18.83203125" customWidth="1"/>
    <col min="2" max="2" width="12.83203125" bestFit="1" customWidth="1"/>
    <col min="3" max="3" width="11.83203125" customWidth="1"/>
    <col min="4" max="4" width="18.1640625" bestFit="1" customWidth="1"/>
    <col min="5" max="5" width="8.5" bestFit="1" customWidth="1"/>
    <col min="6" max="6" width="8" bestFit="1" customWidth="1"/>
    <col min="7" max="7" width="19.1640625" bestFit="1" customWidth="1"/>
  </cols>
  <sheetData>
    <row r="1" spans="1:7">
      <c r="A1" t="s">
        <v>40</v>
      </c>
    </row>
    <row r="2" spans="1:7">
      <c r="A2" t="s">
        <v>5</v>
      </c>
      <c r="B2" t="s">
        <v>6</v>
      </c>
      <c r="C2" t="s">
        <v>20</v>
      </c>
      <c r="D2" t="s">
        <v>13</v>
      </c>
      <c r="E2" t="s">
        <v>14</v>
      </c>
      <c r="F2" t="s">
        <v>24</v>
      </c>
      <c r="G2" t="s">
        <v>15</v>
      </c>
    </row>
    <row r="3" spans="1:7">
      <c r="A3" t="s">
        <v>28</v>
      </c>
      <c r="B3" t="s">
        <v>2</v>
      </c>
      <c r="C3" t="s">
        <v>21</v>
      </c>
      <c r="D3" t="s">
        <v>18</v>
      </c>
      <c r="E3" t="s">
        <v>19</v>
      </c>
      <c r="G3" t="s">
        <v>16</v>
      </c>
    </row>
    <row r="4" spans="1:7">
      <c r="A4" t="s">
        <v>28</v>
      </c>
      <c r="B4" t="s">
        <v>26</v>
      </c>
      <c r="C4" t="s">
        <v>21</v>
      </c>
      <c r="D4" t="s">
        <v>18</v>
      </c>
      <c r="E4" t="s">
        <v>19</v>
      </c>
      <c r="G4" t="s">
        <v>36</v>
      </c>
    </row>
    <row r="5" spans="1:7">
      <c r="A5" t="s">
        <v>28</v>
      </c>
      <c r="B5" t="s">
        <v>27</v>
      </c>
      <c r="C5" t="s">
        <v>21</v>
      </c>
      <c r="D5" t="s">
        <v>18</v>
      </c>
      <c r="E5">
        <v>2035</v>
      </c>
      <c r="G5" t="s">
        <v>36</v>
      </c>
    </row>
    <row r="6" spans="1:7">
      <c r="A6" t="s">
        <v>28</v>
      </c>
      <c r="B6" t="s">
        <v>27</v>
      </c>
      <c r="C6" t="s">
        <v>21</v>
      </c>
      <c r="D6">
        <v>2035</v>
      </c>
      <c r="E6" t="s">
        <v>19</v>
      </c>
      <c r="G6" t="s">
        <v>16</v>
      </c>
    </row>
    <row r="7" spans="1:7">
      <c r="A7" t="s">
        <v>31</v>
      </c>
      <c r="B7" t="s">
        <v>28</v>
      </c>
      <c r="C7" t="s">
        <v>21</v>
      </c>
      <c r="D7" t="s">
        <v>18</v>
      </c>
      <c r="E7" t="s">
        <v>19</v>
      </c>
      <c r="G7" t="s">
        <v>16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H8"/>
  <sheetViews>
    <sheetView zoomScale="160" zoomScaleNormal="160" zoomScalePageLayoutView="160" workbookViewId="0">
      <selection activeCell="A2" sqref="A2"/>
    </sheetView>
  </sheetViews>
  <sheetFormatPr baseColWidth="10" defaultRowHeight="15" x14ac:dyDescent="0"/>
  <cols>
    <col min="1" max="1" width="11.5" customWidth="1"/>
    <col min="2" max="2" width="9.1640625" bestFit="1" customWidth="1"/>
    <col min="3" max="3" width="10.33203125" bestFit="1" customWidth="1"/>
    <col min="4" max="4" width="19.1640625" bestFit="1" customWidth="1"/>
    <col min="5" max="6" width="6" customWidth="1"/>
  </cols>
  <sheetData>
    <row r="1" spans="1:8">
      <c r="A1" t="s">
        <v>39</v>
      </c>
    </row>
    <row r="2" spans="1:8">
      <c r="A2" t="s">
        <v>5</v>
      </c>
      <c r="B2" t="s">
        <v>6</v>
      </c>
      <c r="C2" t="s">
        <v>0</v>
      </c>
      <c r="D2" t="s">
        <v>1</v>
      </c>
      <c r="E2">
        <v>1971</v>
      </c>
      <c r="F2">
        <v>2010</v>
      </c>
      <c r="G2">
        <v>2050</v>
      </c>
      <c r="H2">
        <v>2100</v>
      </c>
    </row>
    <row r="3" spans="1:8">
      <c r="A3" t="s">
        <v>28</v>
      </c>
      <c r="B3" t="s">
        <v>2</v>
      </c>
      <c r="C3" t="s">
        <v>2</v>
      </c>
      <c r="D3" t="s">
        <v>3</v>
      </c>
      <c r="E3" s="1">
        <v>5.3999999999999999E-2</v>
      </c>
      <c r="F3" s="1">
        <v>5.3999999999999999E-2</v>
      </c>
      <c r="G3" s="2">
        <f>F3*0.995^40</f>
        <v>4.4189286535224429E-2</v>
      </c>
      <c r="H3" s="2">
        <f>G3*0.9975^50</f>
        <v>3.8990805530884624E-2</v>
      </c>
    </row>
    <row r="4" spans="1:8">
      <c r="A4" t="s">
        <v>28</v>
      </c>
      <c r="B4" t="s">
        <v>2</v>
      </c>
      <c r="C4" t="s">
        <v>33</v>
      </c>
      <c r="D4" t="s">
        <v>3</v>
      </c>
      <c r="E4" s="1">
        <v>0.06</v>
      </c>
      <c r="F4" s="1">
        <v>0.06</v>
      </c>
      <c r="G4" s="2">
        <f t="shared" ref="G4:G7" si="0">F4*0.995^40</f>
        <v>4.9099207261360474E-2</v>
      </c>
      <c r="H4" s="2">
        <f t="shared" ref="H4:H7" si="1">G4*0.9975^50</f>
        <v>4.3323117256538472E-2</v>
      </c>
    </row>
    <row r="5" spans="1:8">
      <c r="A5" t="s">
        <v>28</v>
      </c>
      <c r="B5" t="s">
        <v>26</v>
      </c>
      <c r="C5" t="s">
        <v>26</v>
      </c>
      <c r="D5" t="s">
        <v>4</v>
      </c>
      <c r="E5" s="1">
        <v>0.04</v>
      </c>
      <c r="F5" s="1">
        <v>3.5000000000000003E-2</v>
      </c>
      <c r="G5" s="2">
        <f t="shared" si="0"/>
        <v>2.8641204235793614E-2</v>
      </c>
      <c r="H5" s="2">
        <f t="shared" si="1"/>
        <v>2.5271818399647445E-2</v>
      </c>
    </row>
    <row r="6" spans="1:8">
      <c r="A6" t="s">
        <v>28</v>
      </c>
      <c r="B6" t="s">
        <v>26</v>
      </c>
      <c r="C6" t="s">
        <v>34</v>
      </c>
      <c r="D6" t="s">
        <v>4</v>
      </c>
      <c r="E6" s="1">
        <v>4.4999999999999998E-2</v>
      </c>
      <c r="F6" s="1">
        <v>0.04</v>
      </c>
      <c r="G6" s="2">
        <f t="shared" si="0"/>
        <v>3.2732804840906987E-2</v>
      </c>
      <c r="H6" s="2">
        <f t="shared" si="1"/>
        <v>2.8882078171025654E-2</v>
      </c>
    </row>
    <row r="7" spans="1:8">
      <c r="A7" t="s">
        <v>28</v>
      </c>
      <c r="B7" t="s">
        <v>27</v>
      </c>
      <c r="C7" t="s">
        <v>27</v>
      </c>
      <c r="D7" t="s">
        <v>25</v>
      </c>
      <c r="E7" s="1">
        <v>0.05</v>
      </c>
      <c r="F7" s="1">
        <v>4.4999999999999998E-2</v>
      </c>
      <c r="G7" s="2">
        <f t="shared" si="0"/>
        <v>3.6824405446020357E-2</v>
      </c>
      <c r="H7" s="2">
        <f t="shared" si="1"/>
        <v>3.2492337942403852E-2</v>
      </c>
    </row>
    <row r="8" spans="1:8">
      <c r="A8" t="s">
        <v>31</v>
      </c>
      <c r="B8" t="s">
        <v>28</v>
      </c>
      <c r="C8" t="s">
        <v>28</v>
      </c>
      <c r="D8" t="s">
        <v>28</v>
      </c>
      <c r="E8" s="1">
        <v>1</v>
      </c>
      <c r="F8" s="1">
        <v>1</v>
      </c>
      <c r="G8" s="1">
        <v>1</v>
      </c>
      <c r="H8" s="1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I9"/>
  <sheetViews>
    <sheetView zoomScale="160" zoomScaleNormal="160" zoomScalePageLayoutView="160" workbookViewId="0">
      <selection activeCell="A3" sqref="A3:C9"/>
    </sheetView>
  </sheetViews>
  <sheetFormatPr baseColWidth="10" defaultRowHeight="15" x14ac:dyDescent="0"/>
  <cols>
    <col min="1" max="1" width="18.5" customWidth="1"/>
    <col min="2" max="2" width="12.83203125" bestFit="1" customWidth="1"/>
    <col min="3" max="3" width="18.1640625" bestFit="1" customWidth="1"/>
    <col min="4" max="4" width="5.1640625" bestFit="1" customWidth="1"/>
    <col min="5" max="5" width="5.1640625" customWidth="1"/>
    <col min="6" max="6" width="5.1640625" bestFit="1" customWidth="1"/>
  </cols>
  <sheetData>
    <row r="1" spans="1:9">
      <c r="A1" t="s">
        <v>42</v>
      </c>
    </row>
    <row r="2" spans="1:9">
      <c r="A2" t="s">
        <v>5</v>
      </c>
      <c r="B2" t="s">
        <v>6</v>
      </c>
      <c r="C2" t="s">
        <v>0</v>
      </c>
      <c r="D2">
        <v>1971</v>
      </c>
      <c r="E2">
        <v>2010</v>
      </c>
      <c r="F2">
        <v>2015</v>
      </c>
      <c r="G2">
        <v>2019</v>
      </c>
      <c r="H2">
        <v>2020</v>
      </c>
      <c r="I2">
        <v>2100</v>
      </c>
    </row>
    <row r="3" spans="1:9">
      <c r="A3" t="s">
        <v>28</v>
      </c>
      <c r="B3" t="s">
        <v>2</v>
      </c>
      <c r="C3" t="s">
        <v>2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</row>
    <row r="4" spans="1:9">
      <c r="A4" t="s">
        <v>28</v>
      </c>
      <c r="B4" t="s">
        <v>2</v>
      </c>
      <c r="C4" t="s">
        <v>33</v>
      </c>
      <c r="D4">
        <v>0</v>
      </c>
      <c r="E4">
        <v>0</v>
      </c>
      <c r="F4">
        <v>0</v>
      </c>
      <c r="G4">
        <v>0</v>
      </c>
      <c r="H4">
        <v>1</v>
      </c>
      <c r="I4">
        <v>1</v>
      </c>
    </row>
    <row r="5" spans="1:9">
      <c r="A5" t="s">
        <v>28</v>
      </c>
      <c r="B5" t="s">
        <v>26</v>
      </c>
      <c r="C5" t="s">
        <v>26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</row>
    <row r="6" spans="1:9">
      <c r="A6" t="s">
        <v>28</v>
      </c>
      <c r="B6" t="s">
        <v>26</v>
      </c>
      <c r="C6" t="s">
        <v>34</v>
      </c>
      <c r="D6">
        <v>0</v>
      </c>
      <c r="E6">
        <v>0</v>
      </c>
      <c r="F6">
        <v>0</v>
      </c>
      <c r="G6">
        <v>0</v>
      </c>
      <c r="H6">
        <v>1</v>
      </c>
      <c r="I6">
        <v>1</v>
      </c>
    </row>
    <row r="7" spans="1:9">
      <c r="A7" t="s">
        <v>28</v>
      </c>
      <c r="B7" t="s">
        <v>27</v>
      </c>
      <c r="C7" t="s">
        <v>27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</row>
    <row r="8" spans="1:9">
      <c r="A8" t="s">
        <v>28</v>
      </c>
      <c r="B8" t="s">
        <v>38</v>
      </c>
      <c r="C8" t="s">
        <v>38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>
      <c r="A9" t="s">
        <v>31</v>
      </c>
      <c r="B9" t="s">
        <v>28</v>
      </c>
      <c r="C9" t="s">
        <v>28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E4"/>
  <sheetViews>
    <sheetView workbookViewId="0">
      <selection activeCell="H37" sqref="H37"/>
    </sheetView>
  </sheetViews>
  <sheetFormatPr baseColWidth="10" defaultRowHeight="15" x14ac:dyDescent="0"/>
  <sheetData>
    <row r="1" spans="1:5">
      <c r="A1" t="s">
        <v>35</v>
      </c>
    </row>
    <row r="2" spans="1:5">
      <c r="A2" t="s">
        <v>5</v>
      </c>
      <c r="B2" t="s">
        <v>6</v>
      </c>
      <c r="C2" t="s">
        <v>0</v>
      </c>
      <c r="D2">
        <v>1971</v>
      </c>
      <c r="E2">
        <v>2100</v>
      </c>
    </row>
    <row r="3" spans="1:5">
      <c r="A3" t="s">
        <v>28</v>
      </c>
      <c r="B3" t="s">
        <v>2</v>
      </c>
      <c r="C3" t="s">
        <v>33</v>
      </c>
      <c r="D3">
        <v>0.9</v>
      </c>
      <c r="E3">
        <v>0.9</v>
      </c>
    </row>
    <row r="4" spans="1:5">
      <c r="A4" t="s">
        <v>28</v>
      </c>
      <c r="B4" t="s">
        <v>26</v>
      </c>
      <c r="C4" t="s">
        <v>34</v>
      </c>
      <c r="D4">
        <v>0.9</v>
      </c>
      <c r="E4">
        <v>0.9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3"/>
  <sheetViews>
    <sheetView zoomScale="160" zoomScaleNormal="160" zoomScalePageLayoutView="160" workbookViewId="0">
      <selection activeCell="D4" sqref="D4"/>
    </sheetView>
  </sheetViews>
  <sheetFormatPr baseColWidth="10" defaultRowHeight="15" x14ac:dyDescent="0"/>
  <cols>
    <col min="1" max="1" width="18.5" customWidth="1"/>
    <col min="2" max="2" width="12.83203125" bestFit="1" customWidth="1"/>
    <col min="3" max="3" width="18.1640625" bestFit="1" customWidth="1"/>
  </cols>
  <sheetData>
    <row r="1" spans="1:4">
      <c r="A1" t="s">
        <v>43</v>
      </c>
    </row>
    <row r="2" spans="1:4">
      <c r="A2" t="s">
        <v>5</v>
      </c>
      <c r="B2" t="s">
        <v>6</v>
      </c>
      <c r="C2" t="s">
        <v>0</v>
      </c>
      <c r="D2" t="s">
        <v>44</v>
      </c>
    </row>
    <row r="3" spans="1:4">
      <c r="A3" t="s">
        <v>28</v>
      </c>
      <c r="B3" t="s">
        <v>38</v>
      </c>
      <c r="C3" t="s">
        <v>38</v>
      </c>
      <c r="D3" t="s">
        <v>45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I11"/>
  <sheetViews>
    <sheetView zoomScale="115" zoomScaleNormal="115" zoomScalePageLayoutView="115" workbookViewId="0">
      <selection activeCell="I13" sqref="I13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8.1640625" bestFit="1" customWidth="1"/>
    <col min="5" max="5" width="7.5" bestFit="1" customWidth="1"/>
    <col min="6" max="6" width="13.1640625" bestFit="1" customWidth="1"/>
    <col min="7" max="7" width="7.33203125" bestFit="1" customWidth="1"/>
    <col min="8" max="8" width="9.33203125" bestFit="1" customWidth="1"/>
    <col min="9" max="9" width="14.33203125" bestFit="1" customWidth="1"/>
    <col min="10" max="14" width="5.1640625" bestFit="1" customWidth="1"/>
  </cols>
  <sheetData>
    <row r="1" spans="1:9">
      <c r="A1" t="s">
        <v>56</v>
      </c>
    </row>
    <row r="2" spans="1:9">
      <c r="A2" t="s">
        <v>5</v>
      </c>
      <c r="B2" t="s">
        <v>6</v>
      </c>
      <c r="C2" t="s">
        <v>0</v>
      </c>
      <c r="D2" t="s">
        <v>23</v>
      </c>
      <c r="E2" t="s">
        <v>48</v>
      </c>
      <c r="F2" t="s">
        <v>49</v>
      </c>
      <c r="G2" t="s">
        <v>50</v>
      </c>
      <c r="H2" t="s">
        <v>51</v>
      </c>
      <c r="I2" t="s">
        <v>52</v>
      </c>
    </row>
    <row r="3" spans="1:9">
      <c r="A3" t="s">
        <v>28</v>
      </c>
      <c r="B3" t="s">
        <v>2</v>
      </c>
      <c r="C3" t="s">
        <v>2</v>
      </c>
      <c r="D3" t="s">
        <v>18</v>
      </c>
      <c r="E3">
        <v>40</v>
      </c>
      <c r="G3">
        <f>E3/2</f>
        <v>20</v>
      </c>
      <c r="H3">
        <v>0.15</v>
      </c>
      <c r="I3">
        <v>1</v>
      </c>
    </row>
    <row r="4" spans="1:9">
      <c r="A4" t="s">
        <v>28</v>
      </c>
      <c r="B4" t="s">
        <v>26</v>
      </c>
      <c r="C4" t="s">
        <v>26</v>
      </c>
      <c r="D4" t="s">
        <v>18</v>
      </c>
      <c r="E4">
        <v>40</v>
      </c>
      <c r="G4">
        <f t="shared" ref="G4:G5" si="0">E4/2</f>
        <v>20</v>
      </c>
      <c r="H4">
        <v>0.15</v>
      </c>
      <c r="I4">
        <v>1</v>
      </c>
    </row>
    <row r="5" spans="1:9">
      <c r="A5" t="s">
        <v>28</v>
      </c>
      <c r="B5" t="s">
        <v>27</v>
      </c>
      <c r="C5" t="s">
        <v>27</v>
      </c>
      <c r="D5" t="s">
        <v>18</v>
      </c>
      <c r="E5">
        <v>40</v>
      </c>
      <c r="G5">
        <f t="shared" si="0"/>
        <v>20</v>
      </c>
      <c r="H5">
        <v>0.15</v>
      </c>
      <c r="I5">
        <v>1</v>
      </c>
    </row>
    <row r="6" spans="1:9">
      <c r="A6" t="s">
        <v>28</v>
      </c>
      <c r="B6" t="s">
        <v>2</v>
      </c>
      <c r="C6" t="s">
        <v>2</v>
      </c>
      <c r="D6" t="s">
        <v>55</v>
      </c>
      <c r="E6">
        <v>40</v>
      </c>
      <c r="G6">
        <v>30</v>
      </c>
      <c r="H6">
        <v>0.3</v>
      </c>
      <c r="I6">
        <v>1</v>
      </c>
    </row>
    <row r="7" spans="1:9">
      <c r="A7" t="s">
        <v>28</v>
      </c>
      <c r="B7" t="s">
        <v>2</v>
      </c>
      <c r="C7" t="s">
        <v>33</v>
      </c>
      <c r="D7" t="s">
        <v>55</v>
      </c>
      <c r="E7">
        <v>40</v>
      </c>
      <c r="G7">
        <v>30</v>
      </c>
      <c r="H7">
        <v>0.3</v>
      </c>
      <c r="I7">
        <v>1</v>
      </c>
    </row>
    <row r="8" spans="1:9">
      <c r="A8" t="s">
        <v>28</v>
      </c>
      <c r="B8" t="s">
        <v>26</v>
      </c>
      <c r="C8" t="s">
        <v>26</v>
      </c>
      <c r="D8" t="s">
        <v>55</v>
      </c>
      <c r="E8">
        <v>40</v>
      </c>
      <c r="G8">
        <v>30</v>
      </c>
      <c r="H8">
        <v>0.3</v>
      </c>
      <c r="I8">
        <v>1</v>
      </c>
    </row>
    <row r="9" spans="1:9">
      <c r="A9" t="s">
        <v>28</v>
      </c>
      <c r="B9" t="s">
        <v>26</v>
      </c>
      <c r="C9" t="s">
        <v>34</v>
      </c>
      <c r="D9" t="s">
        <v>55</v>
      </c>
      <c r="E9">
        <v>40</v>
      </c>
      <c r="G9">
        <v>30</v>
      </c>
      <c r="H9">
        <v>0.3</v>
      </c>
      <c r="I9">
        <v>1</v>
      </c>
    </row>
    <row r="10" spans="1:9">
      <c r="A10" t="s">
        <v>28</v>
      </c>
      <c r="B10" t="s">
        <v>27</v>
      </c>
      <c r="C10" t="s">
        <v>27</v>
      </c>
      <c r="D10" t="s">
        <v>55</v>
      </c>
      <c r="E10">
        <v>40</v>
      </c>
      <c r="G10">
        <v>30</v>
      </c>
      <c r="H10">
        <v>0.3</v>
      </c>
      <c r="I10">
        <v>1</v>
      </c>
    </row>
    <row r="11" spans="1:9">
      <c r="A11" t="s">
        <v>53</v>
      </c>
      <c r="B11" t="s">
        <v>54</v>
      </c>
      <c r="C11" t="s">
        <v>54</v>
      </c>
      <c r="D11" t="s">
        <v>55</v>
      </c>
      <c r="E11">
        <v>40</v>
      </c>
      <c r="G11">
        <v>30</v>
      </c>
      <c r="H11">
        <v>0.3</v>
      </c>
      <c r="I11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A322.sector.csv</vt:lpstr>
      <vt:lpstr>A322.subsector_logit.csv</vt:lpstr>
      <vt:lpstr>A322.subsector_shrwt.csv</vt:lpstr>
      <vt:lpstr>A322.subsector_interp.csv</vt:lpstr>
      <vt:lpstr>A322.globaltech_coef.csv</vt:lpstr>
      <vt:lpstr>A322.globaltech_shrwt.csv</vt:lpstr>
      <vt:lpstr>A322.globaltech_co2capture.csv</vt:lpstr>
      <vt:lpstr>A322.globaltech_renew.csv</vt:lpstr>
      <vt:lpstr>A322.globaltech_retirement.csv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Pralit Patel</cp:lastModifiedBy>
  <dcterms:created xsi:type="dcterms:W3CDTF">2012-12-05T01:27:05Z</dcterms:created>
  <dcterms:modified xsi:type="dcterms:W3CDTF">2015-04-26T17:46:28Z</dcterms:modified>
</cp:coreProperties>
</file>