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9680" yWindow="660" windowWidth="29900" windowHeight="20800" tabRatio="684" firstSheet="6" activeTab="7"/>
  </bookViews>
  <sheets>
    <sheet name="A54.sector.csv" sheetId="5" r:id="rId1"/>
    <sheet name="A54.tranSubsector_logit.csv" sheetId="4" r:id="rId2"/>
    <sheet name="A54.tranSubsector_shrwt.csv" sheetId="16" r:id="rId3"/>
    <sheet name="A54.tranSubsector_interp.csv" sheetId="14" r:id="rId4"/>
    <sheet name="A54.tranSubsector_VOTT.csv" sheetId="77" r:id="rId5"/>
    <sheet name="A54.globaltech_passthru.csv" sheetId="78" r:id="rId6"/>
    <sheet name="A54.globaltech_nonmotor.csv" sheetId="80" r:id="rId7"/>
    <sheet name="A54.globaltranTech_shrwt.csv" sheetId="23" r:id="rId8"/>
    <sheet name="A54.globaltranTech_interp.csv" sheetId="73" r:id="rId9"/>
    <sheet name="A54.globaltranTech_retire.csv" sheetId="74" r:id="rId10"/>
    <sheet name="A54.demand.csv" sheetId="72" r:id="rId11"/>
    <sheet name="A54.incelas_R.csv" sheetId="79" r:id="rId12"/>
  </sheets>
  <definedNames>
    <definedName name="_xlnm._FilterDatabase" localSheetId="5" hidden="1">A54.globaltech_passthru.csv!$A$2:$C$7</definedName>
    <definedName name="_xlnm._FilterDatabase" localSheetId="8" hidden="1">A54.globaltranTech_interp.csv!$A$2:$D$121</definedName>
    <definedName name="_xlnm._FilterDatabase" localSheetId="9" hidden="1">A54.globaltranTech_retire.csv!$A$2:$C$93</definedName>
    <definedName name="_xlnm._FilterDatabase" localSheetId="7" hidden="1">A54.globaltranTech_shrwt.csv!$A$2:$C$128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" i="77" l="1"/>
  <c r="F31" i="77"/>
  <c r="D30" i="77"/>
  <c r="F30" i="77"/>
  <c r="D26" i="77"/>
  <c r="F26" i="77"/>
  <c r="D25" i="77"/>
  <c r="F25" i="77"/>
  <c r="D24" i="77"/>
  <c r="F24" i="77"/>
  <c r="D23" i="77"/>
  <c r="F23" i="77"/>
  <c r="D22" i="77"/>
  <c r="F22" i="77"/>
  <c r="D21" i="77"/>
  <c r="F21" i="77"/>
  <c r="D20" i="77"/>
  <c r="F20" i="77"/>
  <c r="D19" i="77"/>
  <c r="F19" i="77"/>
  <c r="D18" i="77"/>
  <c r="F18" i="77"/>
  <c r="D17" i="77"/>
  <c r="F17" i="77"/>
  <c r="D16" i="77"/>
  <c r="F16" i="77"/>
  <c r="D15" i="77"/>
  <c r="F15" i="77"/>
  <c r="D14" i="77"/>
  <c r="F14" i="77"/>
  <c r="D13" i="77"/>
  <c r="F13" i="77"/>
  <c r="D12" i="77"/>
  <c r="F12" i="77"/>
  <c r="D11" i="77"/>
  <c r="F11" i="77"/>
  <c r="D10" i="77"/>
  <c r="F10" i="77"/>
  <c r="D9" i="77"/>
  <c r="F9" i="77"/>
  <c r="D8" i="77"/>
  <c r="F8" i="77"/>
  <c r="D7" i="77"/>
  <c r="F7" i="77"/>
  <c r="D6" i="77"/>
  <c r="F6" i="77"/>
  <c r="D5" i="77"/>
  <c r="F5" i="77"/>
  <c r="C4" i="77"/>
  <c r="D4" i="77"/>
  <c r="F4" i="77"/>
  <c r="D3" i="77"/>
  <c r="F3" i="77"/>
</calcChain>
</file>

<file path=xl/sharedStrings.xml><?xml version="1.0" encoding="utf-8"?>
<sst xmlns="http://schemas.openxmlformats.org/spreadsheetml/2006/main" count="2875" uniqueCount="172">
  <si>
    <t>technology</t>
  </si>
  <si>
    <t>minicam.energy.input</t>
  </si>
  <si>
    <t>supplysector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</si>
  <si>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</si>
  <si>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</si>
  <si>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</si>
  <si>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</si>
  <si>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</si>
  <si>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</si>
  <si>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</si>
  <si>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</si>
  <si>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</si>
  <si>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</si>
  <si>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</si>
  <si>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</si>
  <si>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</si>
  <si>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</si>
  <si>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</si>
  <si>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</si>
  <si>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</si>
  <si>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</si>
  <si>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energy.final.demand</t>
  </si>
  <si>
    <t>perCapitaBased</t>
  </si>
  <si>
    <t>price.elasticity</t>
  </si>
  <si>
    <t>transportation</t>
  </si>
  <si>
    <t>linear</t>
  </si>
  <si>
    <t># Transportation sector default supplysector information (units and logit exponents)</t>
  </si>
  <si>
    <t># Transportation default subsector logit exponents</t>
  </si>
  <si>
    <t># Transportation default subsector shareweights</t>
  </si>
  <si>
    <t># Transportation default subsector shareweight interpolation</t>
  </si>
  <si>
    <t># Transportation technology default shareweights</t>
  </si>
  <si>
    <t>final.energy</t>
  </si>
  <si>
    <t>trn_pass_road</t>
  </si>
  <si>
    <t>trn_pass_road_LDV</t>
  </si>
  <si>
    <t>trn_freight</t>
  </si>
  <si>
    <t>trn_pass_road_LDV_4W</t>
  </si>
  <si>
    <t>trn_pass_road_LDV_2W</t>
  </si>
  <si>
    <t>trn_freight_road</t>
  </si>
  <si>
    <t>trn_aviation_intl</t>
  </si>
  <si>
    <t>trn_shipping_intl</t>
  </si>
  <si>
    <t>trn_pass_road_bus</t>
  </si>
  <si>
    <t>million pass-km</t>
  </si>
  <si>
    <t>1990$/pass-km</t>
  </si>
  <si>
    <t>million ton-km</t>
  </si>
  <si>
    <t>1990$/ton-km</t>
  </si>
  <si>
    <t>tranSubsector</t>
  </si>
  <si>
    <t>Domestic Aviation</t>
  </si>
  <si>
    <t>International Aviation</t>
  </si>
  <si>
    <t>Bus</t>
  </si>
  <si>
    <t>HSR</t>
  </si>
  <si>
    <t>Motorcycle (50-250cc)</t>
  </si>
  <si>
    <t>Three-Wheeler</t>
  </si>
  <si>
    <t>Mini Car</t>
  </si>
  <si>
    <t>Subcompact Car</t>
  </si>
  <si>
    <t>Compact Car</t>
  </si>
  <si>
    <t>Multipurpose Vehicle</t>
  </si>
  <si>
    <t>Freight Rail</t>
  </si>
  <si>
    <t>Passenger Rail</t>
  </si>
  <si>
    <t>Domestic Ship</t>
  </si>
  <si>
    <t>International Ship</t>
  </si>
  <si>
    <t>Truck (0-2t)</t>
  </si>
  <si>
    <t>Truck (2-5t)</t>
  </si>
  <si>
    <t>Truck (5-9t)</t>
  </si>
  <si>
    <t>Truck (9-16t)</t>
  </si>
  <si>
    <t>Motorcycle (&gt;250cc)</t>
  </si>
  <si>
    <t>Midsize Car</t>
  </si>
  <si>
    <t>Large Car</t>
  </si>
  <si>
    <t>Light Truck and SUV</t>
  </si>
  <si>
    <t>Truck (0-1t)</t>
  </si>
  <si>
    <t>Truck (1-6t)</t>
  </si>
  <si>
    <t>Truck (6-30t)</t>
  </si>
  <si>
    <t>Moped</t>
  </si>
  <si>
    <t>Large Car and SUV</t>
  </si>
  <si>
    <t>Truck (6-15t)</t>
  </si>
  <si>
    <t>Truck (&gt;15t)</t>
  </si>
  <si>
    <t>Van</t>
  </si>
  <si>
    <t>Truck (0-4.5t)</t>
  </si>
  <si>
    <t>Truck (4.5-15t)</t>
  </si>
  <si>
    <t>Light Bus</t>
  </si>
  <si>
    <t>Heavy Bus</t>
  </si>
  <si>
    <t>3W Rural</t>
  </si>
  <si>
    <t>Truck (0-6t)</t>
  </si>
  <si>
    <t>Truck (6-14t)</t>
  </si>
  <si>
    <t>Truck (&gt;14t)</t>
  </si>
  <si>
    <t>Truck (0-3.5t)</t>
  </si>
  <si>
    <t>Truck (3.5-16t)</t>
  </si>
  <si>
    <t>Truck (16-32t)</t>
  </si>
  <si>
    <t>Truck (&gt;32t)</t>
  </si>
  <si>
    <t>Scooter</t>
  </si>
  <si>
    <t>Truck</t>
  </si>
  <si>
    <t>Truck (0-2.7t)</t>
  </si>
  <si>
    <t>Truck (2.7-4.5t)</t>
  </si>
  <si>
    <t>Truck (4.5-12t)</t>
  </si>
  <si>
    <t>Truck (&gt;12t)</t>
  </si>
  <si>
    <t>logit.factor</t>
  </si>
  <si>
    <t>rail / air / road / hsr</t>
  </si>
  <si>
    <t>ldv / bus</t>
  </si>
  <si>
    <t>light bus / heavy bus</t>
  </si>
  <si>
    <t>2W / 3W / 4W</t>
  </si>
  <si>
    <t>car / light truck size classes</t>
  </si>
  <si>
    <t>moped / motorcycle size classes</t>
  </si>
  <si>
    <t>road / rail / air / ship</t>
  </si>
  <si>
    <t>truck size classes</t>
  </si>
  <si>
    <t>Fuel types</t>
  </si>
  <si>
    <t>Fuel types and efficiency levels</t>
  </si>
  <si>
    <t>trn_pass</t>
  </si>
  <si>
    <t>Fuel types and ICE efficiency levels</t>
  </si>
  <si>
    <t>tranTechnology</t>
  </si>
  <si>
    <t>Liquids</t>
  </si>
  <si>
    <t>NG</t>
  </si>
  <si>
    <t>Electric</t>
  </si>
  <si>
    <t>BEV</t>
  </si>
  <si>
    <t>Hybrid Liquids</t>
  </si>
  <si>
    <t>FCEV</t>
  </si>
  <si>
    <t>Adv-Liquid</t>
  </si>
  <si>
    <t>Adv-Electric</t>
  </si>
  <si>
    <t>Tech-Adv-Liquid</t>
  </si>
  <si>
    <t>Tech-Adv-Electric</t>
  </si>
  <si>
    <t>LA-BEV</t>
  </si>
  <si>
    <t>Coal</t>
  </si>
  <si>
    <t>lifetime</t>
  </si>
  <si>
    <t>half.life</t>
  </si>
  <si>
    <t>steepness</t>
  </si>
  <si>
    <t>initial-future-year</t>
  </si>
  <si>
    <t>Cycle</t>
  </si>
  <si>
    <t>Walk</t>
  </si>
  <si>
    <t># Transportation technology default shareweights. Not including single-technology subsectors</t>
  </si>
  <si>
    <t># Transportation technology retirement parameters. Only applies to vintaged technologies</t>
  </si>
  <si>
    <t>road</t>
  </si>
  <si>
    <t>LDV</t>
  </si>
  <si>
    <t>4W</t>
  </si>
  <si>
    <t>2W</t>
  </si>
  <si>
    <t>bus</t>
  </si>
  <si>
    <t>addTimeValue</t>
  </si>
  <si>
    <t># Transportation default subsector value of time in transit multipliers (VOTT = wage rate * this factor)</t>
  </si>
  <si>
    <t>time.value.multiplier</t>
  </si>
  <si>
    <t>in.vehicle.VOTT</t>
  </si>
  <si>
    <t>wait.walk.vott</t>
  </si>
  <si>
    <t>wait.walk.share</t>
  </si>
  <si>
    <t># Passthrough tranSubsectors are listed below</t>
  </si>
  <si>
    <t># Pass-through tranSubsectors</t>
  </si>
  <si>
    <t>speed.source</t>
  </si>
  <si>
    <t># Transportation technology defaults (all parameters; pass-through technologies only)</t>
  </si>
  <si>
    <t>coefficient</t>
  </si>
  <si>
    <t>income.elasticity</t>
  </si>
  <si>
    <t>#Characteristics of final demand sectors</t>
  </si>
  <si>
    <t># modifications to default demand assumptions, by region</t>
  </si>
  <si>
    <t>region_GCAM3</t>
  </si>
  <si>
    <t>Former Soviet Union</t>
  </si>
  <si>
    <t>Africa</t>
  </si>
  <si>
    <t>Australia_NZ</t>
  </si>
  <si>
    <t>Canada</t>
  </si>
  <si>
    <t>China</t>
  </si>
  <si>
    <t>Eastern Europe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</si>
  <si>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</si>
  <si>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</si>
  <si>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</si>
  <si>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</si>
  <si>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</si>
  <si>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</si>
  <si>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</si>
  <si>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</si>
  <si>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Brazil</t>
  </si>
  <si>
    <t>X2020</t>
  </si>
  <si>
    <t>X2050</t>
  </si>
  <si>
    <t>X2100</t>
  </si>
  <si>
    <t>X1971</t>
  </si>
  <si>
    <t>fuelprefElasticity</t>
  </si>
  <si>
    <t>#Table includes all parameters related to walking and cycling in each region</t>
  </si>
  <si>
    <t>speed</t>
  </si>
  <si>
    <t>renewable.input</t>
  </si>
  <si>
    <t>renewable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</si>
</sst>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27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3" fillId="0" borderId="0" xfId="0" applyFont="1"/>
    <xf numFmtId="0" fontId="4" fillId="0" borderId="0" xfId="2073"/>
    <xf numFmtId="164" fontId="3" fillId="0" borderId="0" xfId="0" applyNumberFormat="1" applyFont="1"/>
    <xf numFmtId="0" fontId="0" fillId="0" borderId="0" xfId="0" applyNumberFormat="1"/>
  </cellXfs>
  <cellStyles count="227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Normal" xfId="0" builtinId="0"/>
    <cellStyle name="Normal_A54.tranSubsector_VOTTmult" xfId="2073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2"/>
  <sheetViews>
    <sheetView zoomScale="150" zoomScaleNormal="150" zoomScalePageLayoutView="150" workbookViewId="0">
      <selection activeCell="E5" sqref="E5"/>
    </sheetView>
  </sheetViews>
  <sheetFormatPr baseColWidth="10" defaultRowHeight="15" x14ac:dyDescent="0"/>
  <cols>
    <col min="1" max="1" width="27" customWidth="1"/>
    <col min="2" max="2" width="14" bestFit="1" customWidth="1"/>
    <col min="3" max="3" width="9.33203125" bestFit="1" customWidth="1"/>
    <col min="4" max="4" width="9" bestFit="1" customWidth="1"/>
    <col min="5" max="5" width="13.1640625" bestFit="1" customWidth="1"/>
    <col min="6" max="6" width="13" bestFit="1" customWidth="1"/>
  </cols>
  <sheetData>
    <row r="1" spans="1:8">
      <c r="A1" t="s">
        <v>26</v>
      </c>
    </row>
    <row r="2" spans="1:8">
      <c r="A2" t="s">
        <v>2</v>
      </c>
      <c r="B2" t="s">
        <v>5</v>
      </c>
      <c r="C2" t="s">
        <v>4</v>
      </c>
      <c r="D2" t="s">
        <v>6</v>
      </c>
      <c r="E2" t="s">
        <v>3</v>
      </c>
      <c r="F2" t="s">
        <v>31</v>
      </c>
      <c r="G2" t="s">
        <v>94</v>
      </c>
      <c r="H2" t="s">
        <v>21</v>
      </c>
    </row>
    <row r="3" spans="1:8">
      <c r="A3" t="s">
        <v>38</v>
      </c>
      <c r="B3" t="s">
        <v>41</v>
      </c>
      <c r="C3" t="s">
        <v>7</v>
      </c>
      <c r="D3" t="s">
        <v>42</v>
      </c>
      <c r="E3">
        <v>-3</v>
      </c>
      <c r="F3" t="s">
        <v>24</v>
      </c>
      <c r="H3" t="s">
        <v>38</v>
      </c>
    </row>
    <row r="4" spans="1:8">
      <c r="A4" t="s">
        <v>34</v>
      </c>
      <c r="B4" t="s">
        <v>43</v>
      </c>
      <c r="C4" t="s">
        <v>7</v>
      </c>
      <c r="D4" t="s">
        <v>44</v>
      </c>
      <c r="E4">
        <v>-2</v>
      </c>
      <c r="F4" t="s">
        <v>24</v>
      </c>
      <c r="G4" t="s">
        <v>101</v>
      </c>
      <c r="H4" t="s">
        <v>34</v>
      </c>
    </row>
    <row r="5" spans="1:8">
      <c r="A5" t="s">
        <v>37</v>
      </c>
      <c r="B5" t="s">
        <v>43</v>
      </c>
      <c r="C5" t="s">
        <v>7</v>
      </c>
      <c r="D5" t="s">
        <v>44</v>
      </c>
      <c r="E5">
        <v>-1</v>
      </c>
      <c r="F5" t="s">
        <v>24</v>
      </c>
      <c r="G5" t="s">
        <v>102</v>
      </c>
      <c r="H5" t="s">
        <v>34</v>
      </c>
    </row>
    <row r="6" spans="1:8">
      <c r="A6" t="s">
        <v>105</v>
      </c>
      <c r="B6" t="s">
        <v>41</v>
      </c>
      <c r="C6" t="s">
        <v>7</v>
      </c>
      <c r="D6" t="s">
        <v>42</v>
      </c>
      <c r="E6">
        <v>-2</v>
      </c>
      <c r="F6" t="s">
        <v>24</v>
      </c>
      <c r="G6" t="s">
        <v>96</v>
      </c>
      <c r="H6" t="s">
        <v>105</v>
      </c>
    </row>
    <row r="7" spans="1:8">
      <c r="A7" t="s">
        <v>32</v>
      </c>
      <c r="B7" t="s">
        <v>41</v>
      </c>
      <c r="C7" t="s">
        <v>7</v>
      </c>
      <c r="D7" t="s">
        <v>42</v>
      </c>
      <c r="E7">
        <v>-4</v>
      </c>
      <c r="F7" t="s">
        <v>24</v>
      </c>
      <c r="G7" t="s">
        <v>97</v>
      </c>
      <c r="H7" t="s">
        <v>105</v>
      </c>
    </row>
    <row r="8" spans="1:8">
      <c r="A8" t="s">
        <v>40</v>
      </c>
      <c r="B8" t="s">
        <v>41</v>
      </c>
      <c r="C8" t="s">
        <v>7</v>
      </c>
      <c r="D8" t="s">
        <v>42</v>
      </c>
      <c r="E8">
        <v>-4</v>
      </c>
      <c r="F8" t="s">
        <v>24</v>
      </c>
      <c r="G8" t="s">
        <v>98</v>
      </c>
      <c r="H8" t="s">
        <v>105</v>
      </c>
    </row>
    <row r="9" spans="1:8">
      <c r="A9" t="s">
        <v>33</v>
      </c>
      <c r="B9" t="s">
        <v>41</v>
      </c>
      <c r="C9" t="s">
        <v>7</v>
      </c>
      <c r="D9" t="s">
        <v>42</v>
      </c>
      <c r="E9">
        <v>-4</v>
      </c>
      <c r="F9" t="s">
        <v>24</v>
      </c>
      <c r="G9" t="s">
        <v>100</v>
      </c>
      <c r="H9" t="s">
        <v>105</v>
      </c>
    </row>
    <row r="10" spans="1:8">
      <c r="A10" t="s">
        <v>36</v>
      </c>
      <c r="B10" t="s">
        <v>41</v>
      </c>
      <c r="C10" t="s">
        <v>7</v>
      </c>
      <c r="D10" t="s">
        <v>42</v>
      </c>
      <c r="E10">
        <v>-6</v>
      </c>
      <c r="F10" t="s">
        <v>24</v>
      </c>
      <c r="G10" t="s">
        <v>99</v>
      </c>
      <c r="H10" t="s">
        <v>105</v>
      </c>
    </row>
    <row r="11" spans="1:8">
      <c r="A11" t="s">
        <v>35</v>
      </c>
      <c r="B11" t="s">
        <v>41</v>
      </c>
      <c r="C11" t="s">
        <v>7</v>
      </c>
      <c r="D11" t="s">
        <v>42</v>
      </c>
      <c r="E11">
        <v>-6</v>
      </c>
      <c r="F11" t="s">
        <v>24</v>
      </c>
      <c r="G11" t="s">
        <v>95</v>
      </c>
      <c r="H11" t="s">
        <v>105</v>
      </c>
    </row>
    <row r="12" spans="1:8">
      <c r="A12" t="s">
        <v>39</v>
      </c>
      <c r="B12" t="s">
        <v>43</v>
      </c>
      <c r="C12" t="s">
        <v>7</v>
      </c>
      <c r="D12" t="s">
        <v>44</v>
      </c>
      <c r="E12">
        <v>-3</v>
      </c>
      <c r="F12" t="s">
        <v>24</v>
      </c>
      <c r="H12" t="s">
        <v>39</v>
      </c>
    </row>
  </sheetData>
  <sortState ref="A3:F12">
    <sortCondition ref="A3:A1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60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42.5" bestFit="1" customWidth="1"/>
    <col min="2" max="2" width="19.5" bestFit="1" customWidth="1"/>
    <col min="3" max="3" width="13.1640625" bestFit="1" customWidth="1"/>
  </cols>
  <sheetData>
    <row r="1" spans="1:4">
      <c r="A1" t="s">
        <v>27</v>
      </c>
    </row>
    <row r="2" spans="1:4">
      <c r="A2" t="s">
        <v>2</v>
      </c>
      <c r="B2" t="s">
        <v>45</v>
      </c>
      <c r="C2" t="s">
        <v>3</v>
      </c>
      <c r="D2" t="s">
        <v>94</v>
      </c>
    </row>
    <row r="3" spans="1:4">
      <c r="A3" t="s">
        <v>38</v>
      </c>
      <c r="B3" t="s">
        <v>47</v>
      </c>
      <c r="C3">
        <v>-6</v>
      </c>
    </row>
    <row r="4" spans="1:4">
      <c r="A4" t="s">
        <v>34</v>
      </c>
      <c r="B4" t="s">
        <v>58</v>
      </c>
      <c r="C4">
        <v>-6</v>
      </c>
    </row>
    <row r="5" spans="1:4">
      <c r="A5" t="s">
        <v>34</v>
      </c>
      <c r="B5" t="s">
        <v>56</v>
      </c>
      <c r="C5">
        <v>-1</v>
      </c>
      <c r="D5" t="s">
        <v>104</v>
      </c>
    </row>
    <row r="6" spans="1:4">
      <c r="A6" t="s">
        <v>37</v>
      </c>
      <c r="B6" t="s">
        <v>80</v>
      </c>
      <c r="C6">
        <v>-8</v>
      </c>
      <c r="D6" t="s">
        <v>103</v>
      </c>
    </row>
    <row r="7" spans="1:4">
      <c r="A7" t="s">
        <v>37</v>
      </c>
      <c r="B7" t="s">
        <v>89</v>
      </c>
      <c r="C7">
        <v>-8</v>
      </c>
      <c r="D7" t="s">
        <v>103</v>
      </c>
    </row>
    <row r="8" spans="1:4">
      <c r="A8" t="s">
        <v>37</v>
      </c>
      <c r="B8" t="s">
        <v>93</v>
      </c>
      <c r="C8">
        <v>-8</v>
      </c>
      <c r="D8" t="s">
        <v>103</v>
      </c>
    </row>
    <row r="9" spans="1:4">
      <c r="A9" t="s">
        <v>37</v>
      </c>
      <c r="B9" t="s">
        <v>83</v>
      </c>
      <c r="C9">
        <v>-8</v>
      </c>
      <c r="D9" t="s">
        <v>103</v>
      </c>
    </row>
    <row r="10" spans="1:4">
      <c r="A10" t="s">
        <v>37</v>
      </c>
      <c r="B10" t="s">
        <v>74</v>
      </c>
      <c r="C10">
        <v>-8</v>
      </c>
      <c r="D10" t="s">
        <v>103</v>
      </c>
    </row>
    <row r="11" spans="1:4">
      <c r="A11" t="s">
        <v>37</v>
      </c>
      <c r="B11" t="s">
        <v>87</v>
      </c>
      <c r="C11">
        <v>-8</v>
      </c>
      <c r="D11" t="s">
        <v>103</v>
      </c>
    </row>
    <row r="12" spans="1:4">
      <c r="A12" t="s">
        <v>37</v>
      </c>
      <c r="B12" t="s">
        <v>68</v>
      </c>
      <c r="C12">
        <v>-8</v>
      </c>
      <c r="D12" t="s">
        <v>103</v>
      </c>
    </row>
    <row r="13" spans="1:4">
      <c r="A13" t="s">
        <v>37</v>
      </c>
      <c r="B13" t="s">
        <v>90</v>
      </c>
      <c r="C13">
        <v>-8</v>
      </c>
      <c r="D13" t="s">
        <v>103</v>
      </c>
    </row>
    <row r="14" spans="1:4">
      <c r="A14" t="s">
        <v>37</v>
      </c>
      <c r="B14" t="s">
        <v>60</v>
      </c>
      <c r="C14">
        <v>-8</v>
      </c>
      <c r="D14" t="s">
        <v>103</v>
      </c>
    </row>
    <row r="15" spans="1:4">
      <c r="A15" t="s">
        <v>37</v>
      </c>
      <c r="B15" t="s">
        <v>84</v>
      </c>
      <c r="C15">
        <v>-8</v>
      </c>
      <c r="D15" t="s">
        <v>103</v>
      </c>
    </row>
    <row r="16" spans="1:4">
      <c r="A16" t="s">
        <v>37</v>
      </c>
      <c r="B16" t="s">
        <v>76</v>
      </c>
      <c r="C16">
        <v>-8</v>
      </c>
      <c r="D16" t="s">
        <v>103</v>
      </c>
    </row>
    <row r="17" spans="1:4">
      <c r="A17" t="s">
        <v>37</v>
      </c>
      <c r="B17" t="s">
        <v>81</v>
      </c>
      <c r="C17">
        <v>-8</v>
      </c>
      <c r="D17" t="s">
        <v>103</v>
      </c>
    </row>
    <row r="18" spans="1:4">
      <c r="A18" t="s">
        <v>37</v>
      </c>
      <c r="B18" t="s">
        <v>69</v>
      </c>
      <c r="C18">
        <v>-8</v>
      </c>
      <c r="D18" t="s">
        <v>103</v>
      </c>
    </row>
    <row r="19" spans="1:4">
      <c r="A19" t="s">
        <v>37</v>
      </c>
      <c r="B19" t="s">
        <v>86</v>
      </c>
      <c r="C19">
        <v>-8</v>
      </c>
      <c r="D19" t="s">
        <v>103</v>
      </c>
    </row>
    <row r="20" spans="1:4">
      <c r="A20" t="s">
        <v>37</v>
      </c>
      <c r="B20" t="s">
        <v>61</v>
      </c>
      <c r="C20">
        <v>-8</v>
      </c>
      <c r="D20" t="s">
        <v>103</v>
      </c>
    </row>
    <row r="21" spans="1:4">
      <c r="A21" t="s">
        <v>37</v>
      </c>
      <c r="B21" t="s">
        <v>91</v>
      </c>
      <c r="C21">
        <v>-8</v>
      </c>
      <c r="D21" t="s">
        <v>103</v>
      </c>
    </row>
    <row r="22" spans="1:4">
      <c r="A22" t="s">
        <v>37</v>
      </c>
      <c r="B22" t="s">
        <v>85</v>
      </c>
      <c r="C22">
        <v>-8</v>
      </c>
      <c r="D22" t="s">
        <v>103</v>
      </c>
    </row>
    <row r="23" spans="1:4">
      <c r="A23" t="s">
        <v>37</v>
      </c>
      <c r="B23" t="s">
        <v>92</v>
      </c>
      <c r="C23">
        <v>-8</v>
      </c>
      <c r="D23" t="s">
        <v>103</v>
      </c>
    </row>
    <row r="24" spans="1:4">
      <c r="A24" t="s">
        <v>37</v>
      </c>
      <c r="B24" t="s">
        <v>77</v>
      </c>
      <c r="C24">
        <v>-8</v>
      </c>
      <c r="D24" t="s">
        <v>103</v>
      </c>
    </row>
    <row r="25" spans="1:4">
      <c r="A25" t="s">
        <v>37</v>
      </c>
      <c r="B25" t="s">
        <v>62</v>
      </c>
      <c r="C25">
        <v>-8</v>
      </c>
      <c r="D25" t="s">
        <v>103</v>
      </c>
    </row>
    <row r="26" spans="1:4">
      <c r="A26" t="s">
        <v>37</v>
      </c>
      <c r="B26" t="s">
        <v>82</v>
      </c>
      <c r="C26">
        <v>-8</v>
      </c>
      <c r="D26" t="s">
        <v>103</v>
      </c>
    </row>
    <row r="27" spans="1:4">
      <c r="A27" t="s">
        <v>37</v>
      </c>
      <c r="B27" t="s">
        <v>73</v>
      </c>
      <c r="C27">
        <v>-8</v>
      </c>
      <c r="D27" t="s">
        <v>103</v>
      </c>
    </row>
    <row r="28" spans="1:4">
      <c r="A28" t="s">
        <v>37</v>
      </c>
      <c r="B28" t="s">
        <v>70</v>
      </c>
      <c r="C28">
        <v>-8</v>
      </c>
      <c r="D28" t="s">
        <v>103</v>
      </c>
    </row>
    <row r="29" spans="1:4">
      <c r="A29" t="s">
        <v>37</v>
      </c>
      <c r="B29" t="s">
        <v>63</v>
      </c>
      <c r="C29">
        <v>-8</v>
      </c>
      <c r="D29" t="s">
        <v>103</v>
      </c>
    </row>
    <row r="30" spans="1:4">
      <c r="A30" t="s">
        <v>105</v>
      </c>
      <c r="B30" t="s">
        <v>124</v>
      </c>
      <c r="C30">
        <v>-6</v>
      </c>
    </row>
    <row r="31" spans="1:4">
      <c r="A31" t="s">
        <v>105</v>
      </c>
      <c r="B31" t="s">
        <v>46</v>
      </c>
      <c r="C31">
        <v>-6</v>
      </c>
    </row>
    <row r="32" spans="1:4">
      <c r="A32" t="s">
        <v>105</v>
      </c>
      <c r="B32" t="s">
        <v>49</v>
      </c>
      <c r="C32">
        <v>-6</v>
      </c>
    </row>
    <row r="33" spans="1:4">
      <c r="A33" t="s">
        <v>105</v>
      </c>
      <c r="B33" t="s">
        <v>57</v>
      </c>
      <c r="C33">
        <v>-1</v>
      </c>
      <c r="D33" t="s">
        <v>104</v>
      </c>
    </row>
    <row r="34" spans="1:4">
      <c r="A34" t="s">
        <v>105</v>
      </c>
      <c r="B34" t="s">
        <v>125</v>
      </c>
      <c r="C34">
        <v>-6</v>
      </c>
    </row>
    <row r="35" spans="1:4">
      <c r="A35" t="s">
        <v>32</v>
      </c>
      <c r="B35" t="s">
        <v>48</v>
      </c>
      <c r="C35">
        <v>-3</v>
      </c>
      <c r="D35" t="s">
        <v>103</v>
      </c>
    </row>
    <row r="36" spans="1:4">
      <c r="A36" t="s">
        <v>40</v>
      </c>
      <c r="B36" t="s">
        <v>79</v>
      </c>
      <c r="C36">
        <v>-3</v>
      </c>
      <c r="D36" t="s">
        <v>103</v>
      </c>
    </row>
    <row r="37" spans="1:4">
      <c r="A37" t="s">
        <v>40</v>
      </c>
      <c r="B37" t="s">
        <v>78</v>
      </c>
      <c r="C37">
        <v>-3</v>
      </c>
      <c r="D37" t="s">
        <v>103</v>
      </c>
    </row>
    <row r="38" spans="1:4">
      <c r="A38" t="s">
        <v>33</v>
      </c>
      <c r="B38" t="s">
        <v>51</v>
      </c>
      <c r="C38">
        <v>-8</v>
      </c>
      <c r="D38" t="s">
        <v>103</v>
      </c>
    </row>
    <row r="39" spans="1:4">
      <c r="A39" t="s">
        <v>36</v>
      </c>
      <c r="B39" t="s">
        <v>71</v>
      </c>
      <c r="C39">
        <v>-8</v>
      </c>
      <c r="D39" t="s">
        <v>103</v>
      </c>
    </row>
    <row r="40" spans="1:4">
      <c r="A40" t="s">
        <v>36</v>
      </c>
      <c r="B40" t="s">
        <v>64</v>
      </c>
      <c r="C40">
        <v>-8</v>
      </c>
      <c r="D40" t="s">
        <v>103</v>
      </c>
    </row>
    <row r="41" spans="1:4">
      <c r="A41" t="s">
        <v>36</v>
      </c>
      <c r="B41" t="s">
        <v>50</v>
      </c>
      <c r="C41">
        <v>-8</v>
      </c>
      <c r="D41" t="s">
        <v>103</v>
      </c>
    </row>
    <row r="42" spans="1:4">
      <c r="A42" t="s">
        <v>36</v>
      </c>
      <c r="B42" t="s">
        <v>50</v>
      </c>
      <c r="C42">
        <v>-8</v>
      </c>
      <c r="D42" t="s">
        <v>103</v>
      </c>
    </row>
    <row r="43" spans="1:4">
      <c r="A43" t="s">
        <v>36</v>
      </c>
      <c r="B43" t="s">
        <v>88</v>
      </c>
      <c r="C43">
        <v>-8</v>
      </c>
      <c r="D43" t="s">
        <v>103</v>
      </c>
    </row>
    <row r="44" spans="1:4">
      <c r="A44" t="s">
        <v>35</v>
      </c>
      <c r="B44" t="s">
        <v>54</v>
      </c>
      <c r="C44">
        <v>-8</v>
      </c>
      <c r="D44" t="s">
        <v>106</v>
      </c>
    </row>
    <row r="45" spans="1:4">
      <c r="A45" t="s">
        <v>35</v>
      </c>
      <c r="B45" t="s">
        <v>66</v>
      </c>
      <c r="C45">
        <v>-8</v>
      </c>
      <c r="D45" t="s">
        <v>106</v>
      </c>
    </row>
    <row r="46" spans="1:4">
      <c r="A46" t="s">
        <v>35</v>
      </c>
      <c r="B46" t="s">
        <v>72</v>
      </c>
      <c r="C46">
        <v>-8</v>
      </c>
      <c r="D46" t="s">
        <v>106</v>
      </c>
    </row>
    <row r="47" spans="1:4">
      <c r="A47" t="s">
        <v>35</v>
      </c>
      <c r="B47" t="s">
        <v>67</v>
      </c>
      <c r="C47">
        <v>-8</v>
      </c>
      <c r="D47" t="s">
        <v>106</v>
      </c>
    </row>
    <row r="48" spans="1:4">
      <c r="A48" t="s">
        <v>35</v>
      </c>
      <c r="B48" t="s">
        <v>65</v>
      </c>
      <c r="C48">
        <v>-8</v>
      </c>
      <c r="D48" t="s">
        <v>106</v>
      </c>
    </row>
    <row r="49" spans="1:4">
      <c r="A49" t="s">
        <v>35</v>
      </c>
      <c r="B49" t="s">
        <v>52</v>
      </c>
      <c r="C49">
        <v>-8</v>
      </c>
      <c r="D49" t="s">
        <v>106</v>
      </c>
    </row>
    <row r="50" spans="1:4">
      <c r="A50" t="s">
        <v>35</v>
      </c>
      <c r="B50" t="s">
        <v>55</v>
      </c>
      <c r="C50">
        <v>-8</v>
      </c>
      <c r="D50" t="s">
        <v>106</v>
      </c>
    </row>
    <row r="51" spans="1:4">
      <c r="A51" t="s">
        <v>35</v>
      </c>
      <c r="B51" t="s">
        <v>53</v>
      </c>
      <c r="C51">
        <v>-8</v>
      </c>
      <c r="D51" t="s">
        <v>106</v>
      </c>
    </row>
    <row r="52" spans="1:4">
      <c r="A52" t="s">
        <v>35</v>
      </c>
      <c r="B52" t="s">
        <v>75</v>
      </c>
      <c r="C52">
        <v>-8</v>
      </c>
      <c r="D52" t="s">
        <v>106</v>
      </c>
    </row>
    <row r="53" spans="1:4">
      <c r="A53" t="s">
        <v>39</v>
      </c>
      <c r="B53" t="s">
        <v>59</v>
      </c>
      <c r="C53">
        <v>-6</v>
      </c>
    </row>
    <row r="54" spans="1:4">
      <c r="A54" t="s">
        <v>139</v>
      </c>
    </row>
    <row r="55" spans="1:4">
      <c r="A55" t="s">
        <v>105</v>
      </c>
      <c r="B55" t="s">
        <v>128</v>
      </c>
      <c r="C55">
        <v>-6</v>
      </c>
    </row>
    <row r="56" spans="1:4">
      <c r="A56" t="s">
        <v>32</v>
      </c>
      <c r="B56" t="s">
        <v>129</v>
      </c>
      <c r="C56">
        <v>-6</v>
      </c>
    </row>
    <row r="57" spans="1:4">
      <c r="A57" t="s">
        <v>32</v>
      </c>
      <c r="B57" t="s">
        <v>132</v>
      </c>
      <c r="C57">
        <v>-6</v>
      </c>
    </row>
    <row r="58" spans="1:4">
      <c r="A58" t="s">
        <v>33</v>
      </c>
      <c r="B58" t="s">
        <v>130</v>
      </c>
      <c r="C58">
        <v>-6</v>
      </c>
    </row>
    <row r="59" spans="1:4">
      <c r="A59" t="s">
        <v>33</v>
      </c>
      <c r="B59" t="s">
        <v>131</v>
      </c>
      <c r="C59">
        <v>-6</v>
      </c>
    </row>
    <row r="60" spans="1:4">
      <c r="A60" t="s">
        <v>34</v>
      </c>
      <c r="B60" t="s">
        <v>128</v>
      </c>
      <c r="C60">
        <v>-6</v>
      </c>
    </row>
  </sheetData>
  <sortState ref="A3:D51">
    <sortCondition ref="A3:A51"/>
    <sortCondition ref="B3:B5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61"/>
  <sheetViews>
    <sheetView zoomScale="150" zoomScaleNormal="150" zoomScalePageLayoutView="150" workbookViewId="0">
      <selection activeCell="B3" sqref="B3"/>
    </sheetView>
  </sheetViews>
  <sheetFormatPr baseColWidth="10" defaultRowHeight="15" x14ac:dyDescent="0"/>
  <cols>
    <col min="1" max="1" width="26" customWidth="1"/>
    <col min="2" max="2" width="19.5" bestFit="1" customWidth="1"/>
    <col min="3" max="3" width="10.1640625" bestFit="1" customWidth="1"/>
    <col min="4" max="4" width="18.1640625" bestFit="1" customWidth="1"/>
    <col min="5" max="5" width="11.83203125" bestFit="1" customWidth="1"/>
  </cols>
  <sheetData>
    <row r="1" spans="1:5">
      <c r="A1" t="s">
        <v>28</v>
      </c>
    </row>
    <row r="2" spans="1:5">
      <c r="A2" t="s">
        <v>2</v>
      </c>
      <c r="B2" t="s">
        <v>45</v>
      </c>
      <c r="C2" t="s">
        <v>18</v>
      </c>
      <c r="D2" t="s">
        <v>19</v>
      </c>
      <c r="E2" t="s">
        <v>8</v>
      </c>
    </row>
    <row r="3" spans="1:5">
      <c r="A3" t="s">
        <v>38</v>
      </c>
      <c r="B3" t="s">
        <v>47</v>
      </c>
      <c r="C3" t="s">
        <v>13</v>
      </c>
      <c r="E3">
        <v>1</v>
      </c>
    </row>
    <row r="4" spans="1:5">
      <c r="A4" t="s">
        <v>34</v>
      </c>
      <c r="B4" t="s">
        <v>58</v>
      </c>
      <c r="C4" t="s">
        <v>13</v>
      </c>
      <c r="E4">
        <v>1</v>
      </c>
    </row>
    <row r="5" spans="1:5">
      <c r="A5" t="s">
        <v>34</v>
      </c>
      <c r="B5" t="s">
        <v>56</v>
      </c>
      <c r="C5" t="s">
        <v>13</v>
      </c>
      <c r="E5">
        <v>1</v>
      </c>
    </row>
    <row r="6" spans="1:5">
      <c r="A6" t="s">
        <v>37</v>
      </c>
      <c r="B6" t="s">
        <v>80</v>
      </c>
      <c r="C6" t="s">
        <v>13</v>
      </c>
      <c r="E6">
        <v>1</v>
      </c>
    </row>
    <row r="7" spans="1:5">
      <c r="A7" t="s">
        <v>37</v>
      </c>
      <c r="B7" t="s">
        <v>89</v>
      </c>
      <c r="C7" t="s">
        <v>13</v>
      </c>
      <c r="E7">
        <v>1</v>
      </c>
    </row>
    <row r="8" spans="1:5">
      <c r="A8" t="s">
        <v>37</v>
      </c>
      <c r="B8" t="s">
        <v>93</v>
      </c>
      <c r="C8" t="s">
        <v>13</v>
      </c>
      <c r="E8">
        <v>1</v>
      </c>
    </row>
    <row r="9" spans="1:5">
      <c r="A9" t="s">
        <v>37</v>
      </c>
      <c r="B9" t="s">
        <v>83</v>
      </c>
      <c r="C9" t="s">
        <v>13</v>
      </c>
      <c r="E9">
        <v>1</v>
      </c>
    </row>
    <row r="10" spans="1:5">
      <c r="A10" t="s">
        <v>37</v>
      </c>
      <c r="B10" t="s">
        <v>74</v>
      </c>
      <c r="C10" t="s">
        <v>13</v>
      </c>
      <c r="E10">
        <v>1</v>
      </c>
    </row>
    <row r="11" spans="1:5">
      <c r="A11" t="s">
        <v>37</v>
      </c>
      <c r="B11" t="s">
        <v>87</v>
      </c>
      <c r="C11" t="s">
        <v>13</v>
      </c>
      <c r="E11">
        <v>1</v>
      </c>
    </row>
    <row r="12" spans="1:5">
      <c r="A12" t="s">
        <v>37</v>
      </c>
      <c r="B12" t="s">
        <v>68</v>
      </c>
      <c r="C12" t="s">
        <v>13</v>
      </c>
      <c r="E12">
        <v>1</v>
      </c>
    </row>
    <row r="13" spans="1:5">
      <c r="A13" t="s">
        <v>37</v>
      </c>
      <c r="B13" t="s">
        <v>90</v>
      </c>
      <c r="C13" t="s">
        <v>13</v>
      </c>
      <c r="E13">
        <v>1</v>
      </c>
    </row>
    <row r="14" spans="1:5">
      <c r="A14" t="s">
        <v>37</v>
      </c>
      <c r="B14" t="s">
        <v>60</v>
      </c>
      <c r="C14" t="s">
        <v>13</v>
      </c>
      <c r="E14">
        <v>1</v>
      </c>
    </row>
    <row r="15" spans="1:5">
      <c r="A15" t="s">
        <v>37</v>
      </c>
      <c r="B15" t="s">
        <v>84</v>
      </c>
      <c r="C15" t="s">
        <v>13</v>
      </c>
      <c r="E15">
        <v>1</v>
      </c>
    </row>
    <row r="16" spans="1:5">
      <c r="A16" t="s">
        <v>37</v>
      </c>
      <c r="B16" t="s">
        <v>76</v>
      </c>
      <c r="C16" t="s">
        <v>13</v>
      </c>
      <c r="E16">
        <v>1</v>
      </c>
    </row>
    <row r="17" spans="1:5">
      <c r="A17" t="s">
        <v>37</v>
      </c>
      <c r="B17" t="s">
        <v>81</v>
      </c>
      <c r="C17" t="s">
        <v>13</v>
      </c>
      <c r="E17">
        <v>1</v>
      </c>
    </row>
    <row r="18" spans="1:5">
      <c r="A18" t="s">
        <v>37</v>
      </c>
      <c r="B18" t="s">
        <v>69</v>
      </c>
      <c r="C18" t="s">
        <v>13</v>
      </c>
      <c r="E18">
        <v>1</v>
      </c>
    </row>
    <row r="19" spans="1:5">
      <c r="A19" t="s">
        <v>37</v>
      </c>
      <c r="B19" t="s">
        <v>86</v>
      </c>
      <c r="C19" t="s">
        <v>13</v>
      </c>
      <c r="E19">
        <v>1</v>
      </c>
    </row>
    <row r="20" spans="1:5">
      <c r="A20" t="s">
        <v>37</v>
      </c>
      <c r="B20" t="s">
        <v>61</v>
      </c>
      <c r="C20" t="s">
        <v>13</v>
      </c>
      <c r="E20">
        <v>1</v>
      </c>
    </row>
    <row r="21" spans="1:5">
      <c r="A21" t="s">
        <v>37</v>
      </c>
      <c r="B21" t="s">
        <v>91</v>
      </c>
      <c r="C21" t="s">
        <v>13</v>
      </c>
      <c r="E21">
        <v>1</v>
      </c>
    </row>
    <row r="22" spans="1:5">
      <c r="A22" t="s">
        <v>37</v>
      </c>
      <c r="B22" t="s">
        <v>85</v>
      </c>
      <c r="C22" t="s">
        <v>13</v>
      </c>
      <c r="E22">
        <v>1</v>
      </c>
    </row>
    <row r="23" spans="1:5">
      <c r="A23" t="s">
        <v>37</v>
      </c>
      <c r="B23" t="s">
        <v>92</v>
      </c>
      <c r="C23" t="s">
        <v>13</v>
      </c>
      <c r="E23">
        <v>1</v>
      </c>
    </row>
    <row r="24" spans="1:5">
      <c r="A24" t="s">
        <v>37</v>
      </c>
      <c r="B24" t="s">
        <v>77</v>
      </c>
      <c r="C24" t="s">
        <v>13</v>
      </c>
      <c r="E24">
        <v>1</v>
      </c>
    </row>
    <row r="25" spans="1:5">
      <c r="A25" t="s">
        <v>37</v>
      </c>
      <c r="B25" t="s">
        <v>62</v>
      </c>
      <c r="C25" t="s">
        <v>13</v>
      </c>
      <c r="E25">
        <v>1</v>
      </c>
    </row>
    <row r="26" spans="1:5">
      <c r="A26" t="s">
        <v>37</v>
      </c>
      <c r="B26" t="s">
        <v>82</v>
      </c>
      <c r="C26" t="s">
        <v>13</v>
      </c>
      <c r="E26">
        <v>1</v>
      </c>
    </row>
    <row r="27" spans="1:5">
      <c r="A27" t="s">
        <v>37</v>
      </c>
      <c r="B27" t="s">
        <v>73</v>
      </c>
      <c r="C27" t="s">
        <v>13</v>
      </c>
      <c r="E27">
        <v>1</v>
      </c>
    </row>
    <row r="28" spans="1:5">
      <c r="A28" t="s">
        <v>37</v>
      </c>
      <c r="B28" t="s">
        <v>70</v>
      </c>
      <c r="C28" t="s">
        <v>13</v>
      </c>
      <c r="E28">
        <v>1</v>
      </c>
    </row>
    <row r="29" spans="1:5">
      <c r="A29" t="s">
        <v>37</v>
      </c>
      <c r="B29" t="s">
        <v>63</v>
      </c>
      <c r="C29" t="s">
        <v>13</v>
      </c>
      <c r="E29">
        <v>1</v>
      </c>
    </row>
    <row r="30" spans="1:5">
      <c r="A30" t="s">
        <v>105</v>
      </c>
      <c r="B30" t="s">
        <v>124</v>
      </c>
      <c r="C30" t="s">
        <v>13</v>
      </c>
      <c r="E30">
        <v>1</v>
      </c>
    </row>
    <row r="31" spans="1:5">
      <c r="A31" t="s">
        <v>105</v>
      </c>
      <c r="B31" t="s">
        <v>46</v>
      </c>
      <c r="C31" t="s">
        <v>13</v>
      </c>
      <c r="E31">
        <v>1</v>
      </c>
    </row>
    <row r="32" spans="1:5">
      <c r="A32" t="s">
        <v>105</v>
      </c>
      <c r="B32" t="s">
        <v>49</v>
      </c>
      <c r="D32" t="s">
        <v>14</v>
      </c>
      <c r="E32">
        <v>0</v>
      </c>
    </row>
    <row r="33" spans="1:5">
      <c r="A33" t="s">
        <v>105</v>
      </c>
      <c r="B33" t="s">
        <v>49</v>
      </c>
      <c r="C33" t="s">
        <v>123</v>
      </c>
      <c r="E33">
        <v>1E-3</v>
      </c>
    </row>
    <row r="34" spans="1:5">
      <c r="A34" t="s">
        <v>105</v>
      </c>
      <c r="B34" t="s">
        <v>57</v>
      </c>
      <c r="C34" t="s">
        <v>13</v>
      </c>
      <c r="E34">
        <v>1</v>
      </c>
    </row>
    <row r="35" spans="1:5">
      <c r="A35" t="s">
        <v>105</v>
      </c>
      <c r="B35" t="s">
        <v>125</v>
      </c>
      <c r="C35" t="s">
        <v>13</v>
      </c>
      <c r="E35">
        <v>1</v>
      </c>
    </row>
    <row r="36" spans="1:5">
      <c r="A36" t="s">
        <v>32</v>
      </c>
      <c r="B36" t="s">
        <v>48</v>
      </c>
      <c r="C36" t="s">
        <v>13</v>
      </c>
      <c r="E36">
        <v>1</v>
      </c>
    </row>
    <row r="37" spans="1:5">
      <c r="A37" t="s">
        <v>40</v>
      </c>
      <c r="B37" t="s">
        <v>79</v>
      </c>
      <c r="C37" t="s">
        <v>13</v>
      </c>
      <c r="E37">
        <v>1</v>
      </c>
    </row>
    <row r="38" spans="1:5">
      <c r="A38" t="s">
        <v>40</v>
      </c>
      <c r="B38" t="s">
        <v>78</v>
      </c>
      <c r="C38" t="s">
        <v>13</v>
      </c>
      <c r="E38">
        <v>1</v>
      </c>
    </row>
    <row r="39" spans="1:5">
      <c r="A39" t="s">
        <v>33</v>
      </c>
      <c r="B39" t="s">
        <v>51</v>
      </c>
      <c r="C39" t="s">
        <v>13</v>
      </c>
      <c r="E39">
        <v>1</v>
      </c>
    </row>
    <row r="40" spans="1:5">
      <c r="A40" t="s">
        <v>36</v>
      </c>
      <c r="B40" t="s">
        <v>71</v>
      </c>
      <c r="C40" t="s">
        <v>13</v>
      </c>
      <c r="E40">
        <v>1</v>
      </c>
    </row>
    <row r="41" spans="1:5">
      <c r="A41" t="s">
        <v>36</v>
      </c>
      <c r="B41" t="s">
        <v>64</v>
      </c>
      <c r="C41" t="s">
        <v>13</v>
      </c>
      <c r="E41">
        <v>1</v>
      </c>
    </row>
    <row r="42" spans="1:5">
      <c r="A42" t="s">
        <v>36</v>
      </c>
      <c r="B42" t="s">
        <v>50</v>
      </c>
      <c r="C42" t="s">
        <v>13</v>
      </c>
      <c r="E42">
        <v>1</v>
      </c>
    </row>
    <row r="43" spans="1:5">
      <c r="A43" t="s">
        <v>36</v>
      </c>
      <c r="B43" t="s">
        <v>50</v>
      </c>
      <c r="C43" t="s">
        <v>13</v>
      </c>
      <c r="E43">
        <v>1</v>
      </c>
    </row>
    <row r="44" spans="1:5">
      <c r="A44" t="s">
        <v>36</v>
      </c>
      <c r="B44" t="s">
        <v>88</v>
      </c>
      <c r="C44" t="s">
        <v>13</v>
      </c>
      <c r="E44">
        <v>1</v>
      </c>
    </row>
    <row r="45" spans="1:5">
      <c r="A45" t="s">
        <v>35</v>
      </c>
      <c r="B45" t="s">
        <v>54</v>
      </c>
      <c r="C45" t="s">
        <v>13</v>
      </c>
      <c r="E45">
        <v>1</v>
      </c>
    </row>
    <row r="46" spans="1:5">
      <c r="A46" t="s">
        <v>35</v>
      </c>
      <c r="B46" t="s">
        <v>66</v>
      </c>
      <c r="C46" t="s">
        <v>13</v>
      </c>
      <c r="E46">
        <v>1</v>
      </c>
    </row>
    <row r="47" spans="1:5">
      <c r="A47" t="s">
        <v>35</v>
      </c>
      <c r="B47" t="s">
        <v>72</v>
      </c>
      <c r="C47" t="s">
        <v>13</v>
      </c>
      <c r="E47">
        <v>1</v>
      </c>
    </row>
    <row r="48" spans="1:5">
      <c r="A48" t="s">
        <v>35</v>
      </c>
      <c r="B48" t="s">
        <v>67</v>
      </c>
      <c r="C48" t="s">
        <v>13</v>
      </c>
      <c r="E48">
        <v>1</v>
      </c>
    </row>
    <row r="49" spans="1:5">
      <c r="A49" t="s">
        <v>35</v>
      </c>
      <c r="B49" t="s">
        <v>65</v>
      </c>
      <c r="C49" t="s">
        <v>13</v>
      </c>
      <c r="E49">
        <v>1</v>
      </c>
    </row>
    <row r="50" spans="1:5">
      <c r="A50" t="s">
        <v>35</v>
      </c>
      <c r="B50" t="s">
        <v>52</v>
      </c>
      <c r="C50" t="s">
        <v>13</v>
      </c>
      <c r="E50">
        <v>1</v>
      </c>
    </row>
    <row r="51" spans="1:5">
      <c r="A51" t="s">
        <v>35</v>
      </c>
      <c r="B51" t="s">
        <v>55</v>
      </c>
      <c r="C51" t="s">
        <v>13</v>
      </c>
      <c r="E51">
        <v>1</v>
      </c>
    </row>
    <row r="52" spans="1:5">
      <c r="A52" t="s">
        <v>35</v>
      </c>
      <c r="B52" t="s">
        <v>53</v>
      </c>
      <c r="C52" t="s">
        <v>13</v>
      </c>
      <c r="E52">
        <v>1</v>
      </c>
    </row>
    <row r="53" spans="1:5">
      <c r="A53" t="s">
        <v>35</v>
      </c>
      <c r="B53" t="s">
        <v>75</v>
      </c>
      <c r="C53" t="s">
        <v>13</v>
      </c>
      <c r="E53">
        <v>1</v>
      </c>
    </row>
    <row r="54" spans="1:5">
      <c r="A54" t="s">
        <v>39</v>
      </c>
      <c r="B54" t="s">
        <v>59</v>
      </c>
      <c r="C54" t="s">
        <v>13</v>
      </c>
      <c r="E54">
        <v>1</v>
      </c>
    </row>
    <row r="55" spans="1:5">
      <c r="A55" t="s">
        <v>139</v>
      </c>
    </row>
    <row r="56" spans="1:5">
      <c r="A56" t="s">
        <v>105</v>
      </c>
      <c r="B56" t="s">
        <v>128</v>
      </c>
      <c r="C56" t="s">
        <v>13</v>
      </c>
      <c r="E56">
        <v>1</v>
      </c>
    </row>
    <row r="57" spans="1:5">
      <c r="A57" t="s">
        <v>32</v>
      </c>
      <c r="B57" t="s">
        <v>129</v>
      </c>
      <c r="C57" t="s">
        <v>13</v>
      </c>
      <c r="E57">
        <v>1</v>
      </c>
    </row>
    <row r="58" spans="1:5">
      <c r="A58" t="s">
        <v>32</v>
      </c>
      <c r="B58" t="s">
        <v>132</v>
      </c>
      <c r="C58" t="s">
        <v>13</v>
      </c>
      <c r="E58">
        <v>1</v>
      </c>
    </row>
    <row r="59" spans="1:5">
      <c r="A59" t="s">
        <v>33</v>
      </c>
      <c r="B59" t="s">
        <v>130</v>
      </c>
      <c r="C59" t="s">
        <v>13</v>
      </c>
      <c r="E59">
        <v>1</v>
      </c>
    </row>
    <row r="60" spans="1:5">
      <c r="A60" t="s">
        <v>33</v>
      </c>
      <c r="B60" t="s">
        <v>131</v>
      </c>
      <c r="C60" t="s">
        <v>13</v>
      </c>
      <c r="E60">
        <v>1</v>
      </c>
    </row>
    <row r="61" spans="1:5">
      <c r="A61" t="s">
        <v>34</v>
      </c>
      <c r="B61" t="s">
        <v>128</v>
      </c>
      <c r="C61" t="s">
        <v>13</v>
      </c>
      <c r="E6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59"/>
  <sheetViews>
    <sheetView zoomScale="150" zoomScaleNormal="150" zoomScalePageLayoutView="150" workbookViewId="0">
      <selection activeCell="A14" sqref="A14"/>
    </sheetView>
  </sheetViews>
  <sheetFormatPr baseColWidth="10" defaultRowHeight="15" x14ac:dyDescent="0"/>
  <cols>
    <col min="1" max="1" width="18.83203125" customWidth="1"/>
    <col min="2" max="2" width="19.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29</v>
      </c>
    </row>
    <row r="2" spans="1:7">
      <c r="A2" t="s">
        <v>2</v>
      </c>
      <c r="B2" t="s">
        <v>45</v>
      </c>
      <c r="C2" t="s">
        <v>16</v>
      </c>
      <c r="D2" t="s">
        <v>9</v>
      </c>
      <c r="E2" t="s">
        <v>10</v>
      </c>
      <c r="F2" t="s">
        <v>20</v>
      </c>
      <c r="G2" t="s">
        <v>11</v>
      </c>
    </row>
    <row r="3" spans="1:7">
      <c r="A3" t="s">
        <v>38</v>
      </c>
      <c r="B3" t="s">
        <v>47</v>
      </c>
      <c r="C3" t="s">
        <v>17</v>
      </c>
      <c r="D3" t="s">
        <v>14</v>
      </c>
      <c r="E3" t="s">
        <v>15</v>
      </c>
      <c r="G3" t="s">
        <v>12</v>
      </c>
    </row>
    <row r="4" spans="1:7">
      <c r="A4" t="s">
        <v>34</v>
      </c>
      <c r="B4" t="s">
        <v>58</v>
      </c>
      <c r="C4" t="s">
        <v>17</v>
      </c>
      <c r="D4" t="s">
        <v>14</v>
      </c>
      <c r="E4" t="s">
        <v>15</v>
      </c>
      <c r="G4" t="s">
        <v>12</v>
      </c>
    </row>
    <row r="5" spans="1:7">
      <c r="A5" t="s">
        <v>34</v>
      </c>
      <c r="B5" t="s">
        <v>56</v>
      </c>
      <c r="C5" t="s">
        <v>17</v>
      </c>
      <c r="D5" t="s">
        <v>14</v>
      </c>
      <c r="E5" t="s">
        <v>15</v>
      </c>
      <c r="G5" t="s">
        <v>12</v>
      </c>
    </row>
    <row r="6" spans="1:7">
      <c r="A6" t="s">
        <v>37</v>
      </c>
      <c r="B6" t="s">
        <v>80</v>
      </c>
      <c r="C6" t="s">
        <v>17</v>
      </c>
      <c r="D6" t="s">
        <v>14</v>
      </c>
      <c r="E6" t="s">
        <v>15</v>
      </c>
      <c r="G6" t="s">
        <v>12</v>
      </c>
    </row>
    <row r="7" spans="1:7">
      <c r="A7" t="s">
        <v>37</v>
      </c>
      <c r="B7" t="s">
        <v>89</v>
      </c>
      <c r="C7" t="s">
        <v>17</v>
      </c>
      <c r="D7" t="s">
        <v>14</v>
      </c>
      <c r="E7" t="s">
        <v>15</v>
      </c>
      <c r="G7" t="s">
        <v>12</v>
      </c>
    </row>
    <row r="8" spans="1:7">
      <c r="A8" t="s">
        <v>37</v>
      </c>
      <c r="B8" t="s">
        <v>93</v>
      </c>
      <c r="C8" t="s">
        <v>17</v>
      </c>
      <c r="D8" t="s">
        <v>14</v>
      </c>
      <c r="E8" t="s">
        <v>15</v>
      </c>
      <c r="G8" t="s">
        <v>12</v>
      </c>
    </row>
    <row r="9" spans="1:7">
      <c r="A9" t="s">
        <v>37</v>
      </c>
      <c r="B9" t="s">
        <v>83</v>
      </c>
      <c r="C9" t="s">
        <v>17</v>
      </c>
      <c r="D9" t="s">
        <v>14</v>
      </c>
      <c r="E9" t="s">
        <v>15</v>
      </c>
      <c r="G9" t="s">
        <v>12</v>
      </c>
    </row>
    <row r="10" spans="1:7">
      <c r="A10" t="s">
        <v>37</v>
      </c>
      <c r="B10" t="s">
        <v>74</v>
      </c>
      <c r="C10" t="s">
        <v>17</v>
      </c>
      <c r="D10" t="s">
        <v>14</v>
      </c>
      <c r="E10" t="s">
        <v>15</v>
      </c>
      <c r="G10" t="s">
        <v>12</v>
      </c>
    </row>
    <row r="11" spans="1:7">
      <c r="A11" t="s">
        <v>37</v>
      </c>
      <c r="B11" t="s">
        <v>87</v>
      </c>
      <c r="C11" t="s">
        <v>17</v>
      </c>
      <c r="D11" t="s">
        <v>14</v>
      </c>
      <c r="E11" t="s">
        <v>15</v>
      </c>
      <c r="G11" t="s">
        <v>12</v>
      </c>
    </row>
    <row r="12" spans="1:7">
      <c r="A12" t="s">
        <v>37</v>
      </c>
      <c r="B12" t="s">
        <v>68</v>
      </c>
      <c r="C12" t="s">
        <v>17</v>
      </c>
      <c r="D12" t="s">
        <v>14</v>
      </c>
      <c r="E12" t="s">
        <v>15</v>
      </c>
      <c r="G12" t="s">
        <v>12</v>
      </c>
    </row>
    <row r="13" spans="1:7">
      <c r="A13" t="s">
        <v>37</v>
      </c>
      <c r="B13" t="s">
        <v>90</v>
      </c>
      <c r="C13" t="s">
        <v>17</v>
      </c>
      <c r="D13" t="s">
        <v>14</v>
      </c>
      <c r="E13" t="s">
        <v>15</v>
      </c>
      <c r="G13" t="s">
        <v>12</v>
      </c>
    </row>
    <row r="14" spans="1:7">
      <c r="A14" t="s">
        <v>37</v>
      </c>
      <c r="B14" t="s">
        <v>60</v>
      </c>
      <c r="C14" t="s">
        <v>17</v>
      </c>
      <c r="D14" t="s">
        <v>14</v>
      </c>
      <c r="E14" t="s">
        <v>15</v>
      </c>
      <c r="G14" t="s">
        <v>12</v>
      </c>
    </row>
    <row r="15" spans="1:7">
      <c r="A15" t="s">
        <v>37</v>
      </c>
      <c r="B15" t="s">
        <v>84</v>
      </c>
      <c r="C15" t="s">
        <v>17</v>
      </c>
      <c r="D15" t="s">
        <v>14</v>
      </c>
      <c r="E15" t="s">
        <v>15</v>
      </c>
      <c r="G15" t="s">
        <v>12</v>
      </c>
    </row>
    <row r="16" spans="1:7">
      <c r="A16" t="s">
        <v>37</v>
      </c>
      <c r="B16" t="s">
        <v>76</v>
      </c>
      <c r="C16" t="s">
        <v>17</v>
      </c>
      <c r="D16" t="s">
        <v>14</v>
      </c>
      <c r="E16" t="s">
        <v>15</v>
      </c>
      <c r="G16" t="s">
        <v>12</v>
      </c>
    </row>
    <row r="17" spans="1:7">
      <c r="A17" t="s">
        <v>37</v>
      </c>
      <c r="B17" t="s">
        <v>81</v>
      </c>
      <c r="C17" t="s">
        <v>17</v>
      </c>
      <c r="D17" t="s">
        <v>14</v>
      </c>
      <c r="E17" t="s">
        <v>15</v>
      </c>
      <c r="G17" t="s">
        <v>12</v>
      </c>
    </row>
    <row r="18" spans="1:7">
      <c r="A18" t="s">
        <v>37</v>
      </c>
      <c r="B18" t="s">
        <v>69</v>
      </c>
      <c r="C18" t="s">
        <v>17</v>
      </c>
      <c r="D18" t="s">
        <v>14</v>
      </c>
      <c r="E18" t="s">
        <v>15</v>
      </c>
      <c r="G18" t="s">
        <v>12</v>
      </c>
    </row>
    <row r="19" spans="1:7">
      <c r="A19" t="s">
        <v>37</v>
      </c>
      <c r="B19" t="s">
        <v>86</v>
      </c>
      <c r="C19" t="s">
        <v>17</v>
      </c>
      <c r="D19" t="s">
        <v>14</v>
      </c>
      <c r="E19" t="s">
        <v>15</v>
      </c>
      <c r="G19" t="s">
        <v>12</v>
      </c>
    </row>
    <row r="20" spans="1:7">
      <c r="A20" t="s">
        <v>37</v>
      </c>
      <c r="B20" t="s">
        <v>61</v>
      </c>
      <c r="C20" t="s">
        <v>17</v>
      </c>
      <c r="D20" t="s">
        <v>14</v>
      </c>
      <c r="E20" t="s">
        <v>15</v>
      </c>
      <c r="G20" t="s">
        <v>12</v>
      </c>
    </row>
    <row r="21" spans="1:7">
      <c r="A21" t="s">
        <v>37</v>
      </c>
      <c r="B21" t="s">
        <v>91</v>
      </c>
      <c r="C21" t="s">
        <v>17</v>
      </c>
      <c r="D21" t="s">
        <v>14</v>
      </c>
      <c r="E21" t="s">
        <v>15</v>
      </c>
      <c r="G21" t="s">
        <v>12</v>
      </c>
    </row>
    <row r="22" spans="1:7">
      <c r="A22" t="s">
        <v>37</v>
      </c>
      <c r="B22" t="s">
        <v>85</v>
      </c>
      <c r="C22" t="s">
        <v>17</v>
      </c>
      <c r="D22" t="s">
        <v>14</v>
      </c>
      <c r="E22" t="s">
        <v>15</v>
      </c>
      <c r="G22" t="s">
        <v>12</v>
      </c>
    </row>
    <row r="23" spans="1:7">
      <c r="A23" t="s">
        <v>37</v>
      </c>
      <c r="B23" t="s">
        <v>92</v>
      </c>
      <c r="C23" t="s">
        <v>17</v>
      </c>
      <c r="D23" t="s">
        <v>14</v>
      </c>
      <c r="E23" t="s">
        <v>15</v>
      </c>
      <c r="G23" t="s">
        <v>12</v>
      </c>
    </row>
    <row r="24" spans="1:7">
      <c r="A24" t="s">
        <v>37</v>
      </c>
      <c r="B24" t="s">
        <v>77</v>
      </c>
      <c r="C24" t="s">
        <v>17</v>
      </c>
      <c r="D24" t="s">
        <v>14</v>
      </c>
      <c r="E24" t="s">
        <v>15</v>
      </c>
      <c r="G24" t="s">
        <v>12</v>
      </c>
    </row>
    <row r="25" spans="1:7">
      <c r="A25" t="s">
        <v>37</v>
      </c>
      <c r="B25" t="s">
        <v>62</v>
      </c>
      <c r="C25" t="s">
        <v>17</v>
      </c>
      <c r="D25" t="s">
        <v>14</v>
      </c>
      <c r="E25" t="s">
        <v>15</v>
      </c>
      <c r="G25" t="s">
        <v>12</v>
      </c>
    </row>
    <row r="26" spans="1:7">
      <c r="A26" t="s">
        <v>37</v>
      </c>
      <c r="B26" t="s">
        <v>82</v>
      </c>
      <c r="C26" t="s">
        <v>17</v>
      </c>
      <c r="D26" t="s">
        <v>14</v>
      </c>
      <c r="E26" t="s">
        <v>15</v>
      </c>
      <c r="G26" t="s">
        <v>12</v>
      </c>
    </row>
    <row r="27" spans="1:7">
      <c r="A27" t="s">
        <v>37</v>
      </c>
      <c r="B27" t="s">
        <v>73</v>
      </c>
      <c r="C27" t="s">
        <v>17</v>
      </c>
      <c r="D27" t="s">
        <v>14</v>
      </c>
      <c r="E27" t="s">
        <v>15</v>
      </c>
      <c r="G27" t="s">
        <v>12</v>
      </c>
    </row>
    <row r="28" spans="1:7">
      <c r="A28" t="s">
        <v>37</v>
      </c>
      <c r="B28" t="s">
        <v>70</v>
      </c>
      <c r="C28" t="s">
        <v>17</v>
      </c>
      <c r="D28" t="s">
        <v>14</v>
      </c>
      <c r="E28" t="s">
        <v>15</v>
      </c>
      <c r="G28" t="s">
        <v>12</v>
      </c>
    </row>
    <row r="29" spans="1:7">
      <c r="A29" t="s">
        <v>37</v>
      </c>
      <c r="B29" t="s">
        <v>63</v>
      </c>
      <c r="C29" t="s">
        <v>17</v>
      </c>
      <c r="D29" t="s">
        <v>14</v>
      </c>
      <c r="E29" t="s">
        <v>15</v>
      </c>
      <c r="G29" t="s">
        <v>12</v>
      </c>
    </row>
    <row r="30" spans="1:7">
      <c r="A30" t="s">
        <v>105</v>
      </c>
      <c r="B30" t="s">
        <v>124</v>
      </c>
      <c r="C30" t="s">
        <v>17</v>
      </c>
      <c r="D30" t="s">
        <v>14</v>
      </c>
      <c r="E30" t="s">
        <v>15</v>
      </c>
      <c r="G30" t="s">
        <v>12</v>
      </c>
    </row>
    <row r="31" spans="1:7">
      <c r="A31" t="s">
        <v>105</v>
      </c>
      <c r="B31" t="s">
        <v>46</v>
      </c>
      <c r="C31" t="s">
        <v>17</v>
      </c>
      <c r="D31" t="s">
        <v>14</v>
      </c>
      <c r="E31" t="s">
        <v>15</v>
      </c>
      <c r="G31" t="s">
        <v>12</v>
      </c>
    </row>
    <row r="32" spans="1:7">
      <c r="A32" t="s">
        <v>105</v>
      </c>
      <c r="B32" t="s">
        <v>49</v>
      </c>
      <c r="C32" t="s">
        <v>17</v>
      </c>
      <c r="D32" t="s">
        <v>14</v>
      </c>
      <c r="E32" t="s">
        <v>15</v>
      </c>
      <c r="G32" t="s">
        <v>25</v>
      </c>
    </row>
    <row r="33" spans="1:7">
      <c r="A33" t="s">
        <v>105</v>
      </c>
      <c r="B33" t="s">
        <v>57</v>
      </c>
      <c r="C33" t="s">
        <v>17</v>
      </c>
      <c r="D33" t="s">
        <v>14</v>
      </c>
      <c r="E33" t="s">
        <v>15</v>
      </c>
      <c r="G33" t="s">
        <v>12</v>
      </c>
    </row>
    <row r="34" spans="1:7">
      <c r="A34" t="s">
        <v>105</v>
      </c>
      <c r="B34" t="s">
        <v>125</v>
      </c>
      <c r="C34" t="s">
        <v>17</v>
      </c>
      <c r="D34" t="s">
        <v>14</v>
      </c>
      <c r="E34" t="s">
        <v>15</v>
      </c>
      <c r="G34" t="s">
        <v>12</v>
      </c>
    </row>
    <row r="35" spans="1:7">
      <c r="A35" t="s">
        <v>32</v>
      </c>
      <c r="B35" t="s">
        <v>48</v>
      </c>
      <c r="C35" t="s">
        <v>17</v>
      </c>
      <c r="D35" t="s">
        <v>14</v>
      </c>
      <c r="E35" t="s">
        <v>15</v>
      </c>
      <c r="G35" t="s">
        <v>12</v>
      </c>
    </row>
    <row r="36" spans="1:7">
      <c r="A36" t="s">
        <v>40</v>
      </c>
      <c r="B36" t="s">
        <v>79</v>
      </c>
      <c r="C36" t="s">
        <v>17</v>
      </c>
      <c r="D36" t="s">
        <v>14</v>
      </c>
      <c r="E36" t="s">
        <v>15</v>
      </c>
      <c r="G36" t="s">
        <v>12</v>
      </c>
    </row>
    <row r="37" spans="1:7">
      <c r="A37" t="s">
        <v>40</v>
      </c>
      <c r="B37" t="s">
        <v>78</v>
      </c>
      <c r="C37" t="s">
        <v>17</v>
      </c>
      <c r="D37" t="s">
        <v>14</v>
      </c>
      <c r="E37" t="s">
        <v>15</v>
      </c>
      <c r="G37" t="s">
        <v>12</v>
      </c>
    </row>
    <row r="38" spans="1:7">
      <c r="A38" t="s">
        <v>33</v>
      </c>
      <c r="B38" t="s">
        <v>51</v>
      </c>
      <c r="C38" t="s">
        <v>17</v>
      </c>
      <c r="D38" t="s">
        <v>14</v>
      </c>
      <c r="E38" t="s">
        <v>15</v>
      </c>
      <c r="G38" t="s">
        <v>12</v>
      </c>
    </row>
    <row r="39" spans="1:7">
      <c r="A39" t="s">
        <v>36</v>
      </c>
      <c r="B39" t="s">
        <v>71</v>
      </c>
      <c r="C39" t="s">
        <v>17</v>
      </c>
      <c r="D39" t="s">
        <v>14</v>
      </c>
      <c r="E39" t="s">
        <v>15</v>
      </c>
      <c r="G39" t="s">
        <v>12</v>
      </c>
    </row>
    <row r="40" spans="1:7">
      <c r="A40" t="s">
        <v>36</v>
      </c>
      <c r="B40" t="s">
        <v>64</v>
      </c>
      <c r="C40" t="s">
        <v>17</v>
      </c>
      <c r="D40" t="s">
        <v>14</v>
      </c>
      <c r="E40" t="s">
        <v>15</v>
      </c>
      <c r="G40" t="s">
        <v>12</v>
      </c>
    </row>
    <row r="41" spans="1:7">
      <c r="A41" t="s">
        <v>36</v>
      </c>
      <c r="B41" t="s">
        <v>50</v>
      </c>
      <c r="C41" t="s">
        <v>17</v>
      </c>
      <c r="D41" t="s">
        <v>14</v>
      </c>
      <c r="E41" t="s">
        <v>15</v>
      </c>
      <c r="G41" t="s">
        <v>12</v>
      </c>
    </row>
    <row r="42" spans="1:7">
      <c r="A42" t="s">
        <v>36</v>
      </c>
      <c r="B42" t="s">
        <v>50</v>
      </c>
      <c r="C42" t="s">
        <v>17</v>
      </c>
      <c r="D42" t="s">
        <v>14</v>
      </c>
      <c r="E42" t="s">
        <v>15</v>
      </c>
      <c r="G42" t="s">
        <v>12</v>
      </c>
    </row>
    <row r="43" spans="1:7">
      <c r="A43" t="s">
        <v>36</v>
      </c>
      <c r="B43" t="s">
        <v>88</v>
      </c>
      <c r="C43" t="s">
        <v>17</v>
      </c>
      <c r="D43" t="s">
        <v>14</v>
      </c>
      <c r="E43" t="s">
        <v>15</v>
      </c>
      <c r="G43" t="s">
        <v>12</v>
      </c>
    </row>
    <row r="44" spans="1:7">
      <c r="A44" t="s">
        <v>35</v>
      </c>
      <c r="B44" t="s">
        <v>54</v>
      </c>
      <c r="C44" t="s">
        <v>17</v>
      </c>
      <c r="D44" t="s">
        <v>14</v>
      </c>
      <c r="E44" t="s">
        <v>15</v>
      </c>
      <c r="G44" t="s">
        <v>12</v>
      </c>
    </row>
    <row r="45" spans="1:7">
      <c r="A45" t="s">
        <v>35</v>
      </c>
      <c r="B45" t="s">
        <v>66</v>
      </c>
      <c r="C45" t="s">
        <v>17</v>
      </c>
      <c r="D45" t="s">
        <v>14</v>
      </c>
      <c r="E45" t="s">
        <v>15</v>
      </c>
      <c r="G45" t="s">
        <v>12</v>
      </c>
    </row>
    <row r="46" spans="1:7">
      <c r="A46" t="s">
        <v>35</v>
      </c>
      <c r="B46" t="s">
        <v>72</v>
      </c>
      <c r="C46" t="s">
        <v>17</v>
      </c>
      <c r="D46" t="s">
        <v>14</v>
      </c>
      <c r="E46" t="s">
        <v>15</v>
      </c>
      <c r="G46" t="s">
        <v>12</v>
      </c>
    </row>
    <row r="47" spans="1:7">
      <c r="A47" t="s">
        <v>35</v>
      </c>
      <c r="B47" t="s">
        <v>67</v>
      </c>
      <c r="C47" t="s">
        <v>17</v>
      </c>
      <c r="D47" t="s">
        <v>14</v>
      </c>
      <c r="E47" t="s">
        <v>15</v>
      </c>
      <c r="G47" t="s">
        <v>12</v>
      </c>
    </row>
    <row r="48" spans="1:7">
      <c r="A48" t="s">
        <v>35</v>
      </c>
      <c r="B48" t="s">
        <v>65</v>
      </c>
      <c r="C48" t="s">
        <v>17</v>
      </c>
      <c r="D48" t="s">
        <v>14</v>
      </c>
      <c r="E48" t="s">
        <v>15</v>
      </c>
      <c r="G48" t="s">
        <v>12</v>
      </c>
    </row>
    <row r="49" spans="1:7">
      <c r="A49" t="s">
        <v>35</v>
      </c>
      <c r="B49" t="s">
        <v>52</v>
      </c>
      <c r="C49" t="s">
        <v>17</v>
      </c>
      <c r="D49" t="s">
        <v>14</v>
      </c>
      <c r="E49" t="s">
        <v>15</v>
      </c>
      <c r="G49" t="s">
        <v>12</v>
      </c>
    </row>
    <row r="50" spans="1:7">
      <c r="A50" t="s">
        <v>35</v>
      </c>
      <c r="B50" t="s">
        <v>55</v>
      </c>
      <c r="C50" t="s">
        <v>17</v>
      </c>
      <c r="D50" t="s">
        <v>14</v>
      </c>
      <c r="E50" t="s">
        <v>15</v>
      </c>
      <c r="G50" t="s">
        <v>12</v>
      </c>
    </row>
    <row r="51" spans="1:7">
      <c r="A51" t="s">
        <v>35</v>
      </c>
      <c r="B51" t="s">
        <v>53</v>
      </c>
      <c r="C51" t="s">
        <v>17</v>
      </c>
      <c r="D51" t="s">
        <v>14</v>
      </c>
      <c r="E51" t="s">
        <v>15</v>
      </c>
      <c r="G51" t="s">
        <v>12</v>
      </c>
    </row>
    <row r="52" spans="1:7">
      <c r="A52" t="s">
        <v>35</v>
      </c>
      <c r="B52" t="s">
        <v>75</v>
      </c>
      <c r="C52" t="s">
        <v>17</v>
      </c>
      <c r="D52" t="s">
        <v>14</v>
      </c>
      <c r="E52" t="s">
        <v>15</v>
      </c>
      <c r="G52" t="s">
        <v>12</v>
      </c>
    </row>
    <row r="53" spans="1:7">
      <c r="A53" t="s">
        <v>39</v>
      </c>
      <c r="B53" t="s">
        <v>59</v>
      </c>
      <c r="C53" t="s">
        <v>17</v>
      </c>
      <c r="D53" t="s">
        <v>14</v>
      </c>
      <c r="E53" t="s">
        <v>15</v>
      </c>
      <c r="G53" t="s">
        <v>12</v>
      </c>
    </row>
    <row r="54" spans="1:7">
      <c r="A54" t="s">
        <v>105</v>
      </c>
      <c r="B54" t="s">
        <v>128</v>
      </c>
      <c r="C54" t="s">
        <v>17</v>
      </c>
      <c r="D54" t="s">
        <v>14</v>
      </c>
      <c r="E54" t="s">
        <v>15</v>
      </c>
      <c r="G54" t="s">
        <v>12</v>
      </c>
    </row>
    <row r="55" spans="1:7">
      <c r="A55" t="s">
        <v>32</v>
      </c>
      <c r="B55" t="s">
        <v>129</v>
      </c>
      <c r="C55" t="s">
        <v>17</v>
      </c>
      <c r="D55" t="s">
        <v>14</v>
      </c>
      <c r="E55" t="s">
        <v>15</v>
      </c>
      <c r="G55" t="s">
        <v>12</v>
      </c>
    </row>
    <row r="56" spans="1:7">
      <c r="A56" t="s">
        <v>32</v>
      </c>
      <c r="B56" t="s">
        <v>132</v>
      </c>
      <c r="C56" t="s">
        <v>17</v>
      </c>
      <c r="D56" t="s">
        <v>14</v>
      </c>
      <c r="E56" t="s">
        <v>15</v>
      </c>
      <c r="G56" t="s">
        <v>12</v>
      </c>
    </row>
    <row r="57" spans="1:7">
      <c r="A57" t="s">
        <v>33</v>
      </c>
      <c r="B57" t="s">
        <v>130</v>
      </c>
      <c r="C57" t="s">
        <v>17</v>
      </c>
      <c r="D57" t="s">
        <v>14</v>
      </c>
      <c r="E57" t="s">
        <v>15</v>
      </c>
      <c r="G57" t="s">
        <v>12</v>
      </c>
    </row>
    <row r="58" spans="1:7">
      <c r="A58" t="s">
        <v>33</v>
      </c>
      <c r="B58" t="s">
        <v>131</v>
      </c>
      <c r="C58" t="s">
        <v>17</v>
      </c>
      <c r="D58" t="s">
        <v>14</v>
      </c>
      <c r="E58" t="s">
        <v>15</v>
      </c>
      <c r="G58" t="s">
        <v>12</v>
      </c>
    </row>
    <row r="59" spans="1:7">
      <c r="A59" t="s">
        <v>34</v>
      </c>
      <c r="B59" t="s">
        <v>128</v>
      </c>
      <c r="C59" t="s">
        <v>17</v>
      </c>
      <c r="D59" t="s">
        <v>14</v>
      </c>
      <c r="E59" t="s">
        <v>15</v>
      </c>
      <c r="G59" t="s">
        <v>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"/>
  <sheetViews>
    <sheetView zoomScale="115" zoomScaleNormal="115" zoomScalePageLayoutView="115" workbookViewId="0">
      <selection activeCell="F35" sqref="F35"/>
    </sheetView>
  </sheetViews>
  <sheetFormatPr baseColWidth="10" defaultRowHeight="15" x14ac:dyDescent="0"/>
  <cols>
    <col min="1" max="1" width="22.33203125" customWidth="1"/>
    <col min="2" max="2" width="19.5" bestFit="1" customWidth="1"/>
    <col min="3" max="3" width="13.83203125" bestFit="1" customWidth="1"/>
    <col min="4" max="4" width="13" bestFit="1" customWidth="1"/>
    <col min="5" max="5" width="14" bestFit="1" customWidth="1"/>
    <col min="6" max="6" width="18.1640625" bestFit="1" customWidth="1"/>
    <col min="8" max="8" width="21" bestFit="1" customWidth="1"/>
  </cols>
  <sheetData>
    <row r="1" spans="1:9">
      <c r="A1" t="s">
        <v>134</v>
      </c>
    </row>
    <row r="2" spans="1:9">
      <c r="A2" t="s">
        <v>2</v>
      </c>
      <c r="B2" t="s">
        <v>45</v>
      </c>
      <c r="C2" t="s">
        <v>136</v>
      </c>
      <c r="D2" t="s">
        <v>137</v>
      </c>
      <c r="E2" t="s">
        <v>138</v>
      </c>
      <c r="F2" s="3" t="s">
        <v>135</v>
      </c>
      <c r="G2" t="s">
        <v>133</v>
      </c>
      <c r="H2" t="s">
        <v>141</v>
      </c>
      <c r="I2" t="s">
        <v>167</v>
      </c>
    </row>
    <row r="3" spans="1:9">
      <c r="A3" t="s">
        <v>38</v>
      </c>
      <c r="B3" t="s">
        <v>47</v>
      </c>
      <c r="C3">
        <v>1.45</v>
      </c>
      <c r="D3">
        <f t="shared" ref="D3:D17" si="0">$C$8</f>
        <v>1.0660000000000001</v>
      </c>
      <c r="E3" s="1">
        <v>0.41522701513949989</v>
      </c>
      <c r="F3" s="1">
        <f>C3*(1-E3)+D3*E3</f>
        <v>1.2905528261864321</v>
      </c>
      <c r="G3">
        <v>1</v>
      </c>
      <c r="I3">
        <v>0</v>
      </c>
    </row>
    <row r="4" spans="1:9">
      <c r="A4" t="s">
        <v>105</v>
      </c>
      <c r="B4" t="s">
        <v>124</v>
      </c>
      <c r="C4">
        <f>$C$8</f>
        <v>1.0660000000000001</v>
      </c>
      <c r="D4">
        <f t="shared" si="0"/>
        <v>1.0660000000000001</v>
      </c>
      <c r="E4">
        <v>0</v>
      </c>
      <c r="F4">
        <f t="shared" ref="F4:F9" si="1">C4*(1-E4)+D4*E4</f>
        <v>1.0660000000000001</v>
      </c>
      <c r="G4">
        <v>1</v>
      </c>
      <c r="I4">
        <v>0</v>
      </c>
    </row>
    <row r="5" spans="1:9">
      <c r="A5" t="s">
        <v>105</v>
      </c>
      <c r="B5" t="s">
        <v>46</v>
      </c>
      <c r="C5">
        <v>1.45</v>
      </c>
      <c r="D5">
        <f t="shared" si="0"/>
        <v>1.0660000000000001</v>
      </c>
      <c r="E5" s="1">
        <v>0.53676005104484337</v>
      </c>
      <c r="F5" s="1">
        <f t="shared" si="1"/>
        <v>1.2438841403987801</v>
      </c>
      <c r="G5">
        <v>1</v>
      </c>
      <c r="I5">
        <v>0</v>
      </c>
    </row>
    <row r="6" spans="1:9">
      <c r="A6" t="s">
        <v>105</v>
      </c>
      <c r="B6" t="s">
        <v>49</v>
      </c>
      <c r="C6">
        <v>0.77</v>
      </c>
      <c r="D6">
        <f t="shared" si="0"/>
        <v>1.0660000000000001</v>
      </c>
      <c r="E6" s="4">
        <v>0.101774567</v>
      </c>
      <c r="F6" s="1">
        <f t="shared" si="1"/>
        <v>0.800125271832</v>
      </c>
      <c r="G6">
        <v>1</v>
      </c>
      <c r="I6">
        <v>0</v>
      </c>
    </row>
    <row r="7" spans="1:9">
      <c r="A7" t="s">
        <v>105</v>
      </c>
      <c r="B7" t="s">
        <v>57</v>
      </c>
      <c r="C7">
        <v>0.77</v>
      </c>
      <c r="D7">
        <f t="shared" si="0"/>
        <v>1.0660000000000001</v>
      </c>
      <c r="E7" s="1">
        <v>0.1017745667850608</v>
      </c>
      <c r="F7" s="1">
        <f t="shared" si="1"/>
        <v>0.800125271768378</v>
      </c>
      <c r="G7">
        <v>1</v>
      </c>
      <c r="I7">
        <v>0</v>
      </c>
    </row>
    <row r="8" spans="1:9">
      <c r="A8" t="s">
        <v>105</v>
      </c>
      <c r="B8" t="s">
        <v>125</v>
      </c>
      <c r="C8">
        <v>1.0660000000000001</v>
      </c>
      <c r="D8">
        <f t="shared" si="0"/>
        <v>1.0660000000000001</v>
      </c>
      <c r="E8">
        <v>0</v>
      </c>
      <c r="F8">
        <f t="shared" si="1"/>
        <v>1.0660000000000001</v>
      </c>
      <c r="G8">
        <v>1</v>
      </c>
      <c r="I8">
        <v>0</v>
      </c>
    </row>
    <row r="9" spans="1:9">
      <c r="A9" t="s">
        <v>32</v>
      </c>
      <c r="B9" t="s">
        <v>48</v>
      </c>
      <c r="C9">
        <v>0.77</v>
      </c>
      <c r="D9">
        <f t="shared" si="0"/>
        <v>1.0660000000000001</v>
      </c>
      <c r="E9" s="1">
        <v>0.12763713080168776</v>
      </c>
      <c r="F9" s="1">
        <f t="shared" si="1"/>
        <v>0.80778059071729968</v>
      </c>
      <c r="G9">
        <v>1</v>
      </c>
      <c r="I9">
        <v>0</v>
      </c>
    </row>
    <row r="10" spans="1:9">
      <c r="A10" t="s">
        <v>40</v>
      </c>
      <c r="B10" t="s">
        <v>79</v>
      </c>
      <c r="C10">
        <v>0.77</v>
      </c>
      <c r="D10">
        <f t="shared" si="0"/>
        <v>1.0660000000000001</v>
      </c>
      <c r="E10" s="1">
        <v>0.12763713080168776</v>
      </c>
      <c r="F10" s="1">
        <f t="shared" ref="F10:F12" si="2">C10*(1-E10)+D10*E10</f>
        <v>0.80778059071729968</v>
      </c>
      <c r="G10">
        <v>1</v>
      </c>
      <c r="I10">
        <v>0</v>
      </c>
    </row>
    <row r="11" spans="1:9">
      <c r="A11" t="s">
        <v>40</v>
      </c>
      <c r="B11" t="s">
        <v>78</v>
      </c>
      <c r="C11">
        <v>0.77</v>
      </c>
      <c r="D11">
        <f t="shared" si="0"/>
        <v>1.0660000000000001</v>
      </c>
      <c r="E11" s="1">
        <v>0.12763713080168776</v>
      </c>
      <c r="F11" s="1">
        <f t="shared" si="2"/>
        <v>0.80778059071729968</v>
      </c>
      <c r="G11">
        <v>1</v>
      </c>
      <c r="I11">
        <v>0</v>
      </c>
    </row>
    <row r="12" spans="1:9">
      <c r="A12" t="s">
        <v>33</v>
      </c>
      <c r="B12" t="s">
        <v>51</v>
      </c>
      <c r="C12">
        <v>0.82</v>
      </c>
      <c r="D12">
        <f t="shared" si="0"/>
        <v>1.0660000000000001</v>
      </c>
      <c r="E12">
        <v>0</v>
      </c>
      <c r="F12" s="1">
        <f t="shared" si="2"/>
        <v>0.82</v>
      </c>
      <c r="G12">
        <v>1</v>
      </c>
      <c r="I12">
        <v>0</v>
      </c>
    </row>
    <row r="13" spans="1:9">
      <c r="A13" t="s">
        <v>36</v>
      </c>
      <c r="B13" t="s">
        <v>71</v>
      </c>
      <c r="C13">
        <v>0.82</v>
      </c>
      <c r="D13">
        <f t="shared" si="0"/>
        <v>1.0660000000000001</v>
      </c>
      <c r="E13">
        <v>0</v>
      </c>
      <c r="F13" s="1">
        <f t="shared" ref="F13:F17" si="3">C13*(1-E13)+D13*E13</f>
        <v>0.82</v>
      </c>
      <c r="G13">
        <v>1</v>
      </c>
      <c r="I13">
        <v>0</v>
      </c>
    </row>
    <row r="14" spans="1:9">
      <c r="A14" t="s">
        <v>36</v>
      </c>
      <c r="B14" t="s">
        <v>64</v>
      </c>
      <c r="C14">
        <v>0.82</v>
      </c>
      <c r="D14">
        <f t="shared" si="0"/>
        <v>1.0660000000000001</v>
      </c>
      <c r="E14">
        <v>0</v>
      </c>
      <c r="F14" s="1">
        <f t="shared" si="3"/>
        <v>0.82</v>
      </c>
      <c r="G14">
        <v>1</v>
      </c>
      <c r="I14">
        <v>0</v>
      </c>
    </row>
    <row r="15" spans="1:9">
      <c r="A15" t="s">
        <v>36</v>
      </c>
      <c r="B15" t="s">
        <v>50</v>
      </c>
      <c r="C15">
        <v>0.82</v>
      </c>
      <c r="D15">
        <f t="shared" si="0"/>
        <v>1.0660000000000001</v>
      </c>
      <c r="E15">
        <v>0</v>
      </c>
      <c r="F15" s="1">
        <f t="shared" si="3"/>
        <v>0.82</v>
      </c>
      <c r="G15">
        <v>1</v>
      </c>
      <c r="I15">
        <v>0</v>
      </c>
    </row>
    <row r="16" spans="1:9">
      <c r="A16" t="s">
        <v>36</v>
      </c>
      <c r="B16" t="s">
        <v>50</v>
      </c>
      <c r="C16">
        <v>0.82</v>
      </c>
      <c r="D16">
        <f t="shared" si="0"/>
        <v>1.0660000000000001</v>
      </c>
      <c r="E16">
        <v>0</v>
      </c>
      <c r="F16" s="1">
        <f t="shared" si="3"/>
        <v>0.82</v>
      </c>
      <c r="G16">
        <v>1</v>
      </c>
      <c r="I16">
        <v>0</v>
      </c>
    </row>
    <row r="17" spans="1:9">
      <c r="A17" t="s">
        <v>36</v>
      </c>
      <c r="B17" t="s">
        <v>88</v>
      </c>
      <c r="C17">
        <v>0.82</v>
      </c>
      <c r="D17">
        <f t="shared" si="0"/>
        <v>1.0660000000000001</v>
      </c>
      <c r="E17">
        <v>0</v>
      </c>
      <c r="F17" s="1">
        <f t="shared" si="3"/>
        <v>0.82</v>
      </c>
      <c r="G17">
        <v>1</v>
      </c>
      <c r="I17">
        <v>0</v>
      </c>
    </row>
    <row r="18" spans="1:9">
      <c r="A18" t="s">
        <v>35</v>
      </c>
      <c r="B18" t="s">
        <v>54</v>
      </c>
      <c r="C18">
        <v>0.82</v>
      </c>
      <c r="D18">
        <f t="shared" ref="D18:D26" si="4">$C$8</f>
        <v>1.0660000000000001</v>
      </c>
      <c r="E18">
        <v>0</v>
      </c>
      <c r="F18" s="1">
        <f t="shared" ref="F18:F26" si="5">C18*(1-E18)+D18*E18</f>
        <v>0.82</v>
      </c>
      <c r="G18">
        <v>0</v>
      </c>
      <c r="I18">
        <v>0</v>
      </c>
    </row>
    <row r="19" spans="1:9">
      <c r="A19" t="s">
        <v>35</v>
      </c>
      <c r="B19" t="s">
        <v>66</v>
      </c>
      <c r="C19">
        <v>0.82</v>
      </c>
      <c r="D19">
        <f t="shared" si="4"/>
        <v>1.0660000000000001</v>
      </c>
      <c r="E19">
        <v>0</v>
      </c>
      <c r="F19" s="1">
        <f t="shared" si="5"/>
        <v>0.82</v>
      </c>
      <c r="G19">
        <v>0</v>
      </c>
      <c r="I19">
        <v>0.1</v>
      </c>
    </row>
    <row r="20" spans="1:9">
      <c r="A20" t="s">
        <v>35</v>
      </c>
      <c r="B20" t="s">
        <v>72</v>
      </c>
      <c r="C20">
        <v>0.82</v>
      </c>
      <c r="D20">
        <f t="shared" si="4"/>
        <v>1.0660000000000001</v>
      </c>
      <c r="E20">
        <v>0</v>
      </c>
      <c r="F20" s="1">
        <f t="shared" si="5"/>
        <v>0.82</v>
      </c>
      <c r="G20">
        <v>0</v>
      </c>
      <c r="I20">
        <v>0.2</v>
      </c>
    </row>
    <row r="21" spans="1:9">
      <c r="A21" t="s">
        <v>35</v>
      </c>
      <c r="B21" t="s">
        <v>67</v>
      </c>
      <c r="C21">
        <v>0.82</v>
      </c>
      <c r="D21">
        <f t="shared" si="4"/>
        <v>1.0660000000000001</v>
      </c>
      <c r="E21">
        <v>0</v>
      </c>
      <c r="F21" s="1">
        <f t="shared" si="5"/>
        <v>0.82</v>
      </c>
      <c r="G21">
        <v>0</v>
      </c>
      <c r="I21">
        <v>0.2</v>
      </c>
    </row>
    <row r="22" spans="1:9">
      <c r="A22" t="s">
        <v>35</v>
      </c>
      <c r="B22" t="s">
        <v>65</v>
      </c>
      <c r="C22">
        <v>0.82</v>
      </c>
      <c r="D22">
        <f t="shared" si="4"/>
        <v>1.0660000000000001</v>
      </c>
      <c r="E22">
        <v>0</v>
      </c>
      <c r="F22" s="1">
        <f t="shared" si="5"/>
        <v>0.82</v>
      </c>
      <c r="G22">
        <v>0</v>
      </c>
      <c r="I22">
        <v>0</v>
      </c>
    </row>
    <row r="23" spans="1:9">
      <c r="A23" t="s">
        <v>35</v>
      </c>
      <c r="B23" t="s">
        <v>52</v>
      </c>
      <c r="C23">
        <v>0.82</v>
      </c>
      <c r="D23">
        <f t="shared" si="4"/>
        <v>1.0660000000000001</v>
      </c>
      <c r="E23">
        <v>0</v>
      </c>
      <c r="F23" s="1">
        <f t="shared" si="5"/>
        <v>0.82</v>
      </c>
      <c r="G23">
        <v>0</v>
      </c>
      <c r="I23">
        <v>-0.2</v>
      </c>
    </row>
    <row r="24" spans="1:9">
      <c r="A24" t="s">
        <v>35</v>
      </c>
      <c r="B24" t="s">
        <v>55</v>
      </c>
      <c r="C24">
        <v>0.82</v>
      </c>
      <c r="D24">
        <f t="shared" si="4"/>
        <v>1.0660000000000001</v>
      </c>
      <c r="E24">
        <v>0</v>
      </c>
      <c r="F24" s="1">
        <f t="shared" si="5"/>
        <v>0.82</v>
      </c>
      <c r="G24">
        <v>0</v>
      </c>
      <c r="I24">
        <v>0.2</v>
      </c>
    </row>
    <row r="25" spans="1:9">
      <c r="A25" t="s">
        <v>35</v>
      </c>
      <c r="B25" t="s">
        <v>53</v>
      </c>
      <c r="C25">
        <v>0.82</v>
      </c>
      <c r="D25">
        <f t="shared" si="4"/>
        <v>1.0660000000000001</v>
      </c>
      <c r="E25">
        <v>0</v>
      </c>
      <c r="F25" s="1">
        <f t="shared" si="5"/>
        <v>0.82</v>
      </c>
      <c r="G25">
        <v>0</v>
      </c>
      <c r="I25">
        <v>-0.1</v>
      </c>
    </row>
    <row r="26" spans="1:9">
      <c r="A26" t="s">
        <v>35</v>
      </c>
      <c r="B26" t="s">
        <v>75</v>
      </c>
      <c r="C26">
        <v>0.82</v>
      </c>
      <c r="D26">
        <f t="shared" si="4"/>
        <v>1.0660000000000001</v>
      </c>
      <c r="E26">
        <v>0</v>
      </c>
      <c r="F26" s="1">
        <f t="shared" si="5"/>
        <v>0.82</v>
      </c>
      <c r="G26">
        <v>0</v>
      </c>
      <c r="I26">
        <v>0</v>
      </c>
    </row>
    <row r="27" spans="1:9">
      <c r="A27" t="s">
        <v>140</v>
      </c>
      <c r="F27" s="1"/>
    </row>
    <row r="28" spans="1:9">
      <c r="A28" t="s">
        <v>105</v>
      </c>
      <c r="B28" t="s">
        <v>128</v>
      </c>
      <c r="D28" s="5"/>
      <c r="F28">
        <v>1</v>
      </c>
      <c r="G28">
        <v>0</v>
      </c>
      <c r="I28">
        <v>0</v>
      </c>
    </row>
    <row r="29" spans="1:9">
      <c r="A29" t="s">
        <v>32</v>
      </c>
      <c r="B29" t="s">
        <v>129</v>
      </c>
      <c r="F29">
        <v>1</v>
      </c>
      <c r="G29">
        <v>0</v>
      </c>
      <c r="I29">
        <v>0</v>
      </c>
    </row>
    <row r="30" spans="1:9">
      <c r="A30" t="s">
        <v>32</v>
      </c>
      <c r="B30" t="s">
        <v>132</v>
      </c>
      <c r="C30">
        <v>0.77</v>
      </c>
      <c r="D30">
        <f>$C$8</f>
        <v>1.0660000000000001</v>
      </c>
      <c r="E30" s="1">
        <v>0.12763713080168776</v>
      </c>
      <c r="F30" s="1">
        <f t="shared" ref="F30:F31" si="6">C30*(1-E30)+D30*E30</f>
        <v>0.80778059071729968</v>
      </c>
      <c r="G30">
        <v>0</v>
      </c>
      <c r="I30">
        <v>0</v>
      </c>
    </row>
    <row r="31" spans="1:9">
      <c r="A31" t="s">
        <v>33</v>
      </c>
      <c r="B31" t="s">
        <v>130</v>
      </c>
      <c r="C31">
        <v>0.82</v>
      </c>
      <c r="D31">
        <f t="shared" ref="D31" si="7">$C$8</f>
        <v>1.0660000000000001</v>
      </c>
      <c r="E31">
        <v>0</v>
      </c>
      <c r="F31" s="1">
        <f t="shared" si="6"/>
        <v>0.82</v>
      </c>
      <c r="G31">
        <v>1</v>
      </c>
      <c r="H31" t="s">
        <v>35</v>
      </c>
      <c r="I31">
        <v>0</v>
      </c>
    </row>
    <row r="32" spans="1:9">
      <c r="A32" t="s">
        <v>33</v>
      </c>
      <c r="B32" t="s">
        <v>131</v>
      </c>
      <c r="F32">
        <v>1</v>
      </c>
      <c r="G32">
        <v>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8"/>
  <sheetViews>
    <sheetView zoomScale="160" zoomScaleNormal="160" zoomScalePageLayoutView="160" workbookViewId="0">
      <selection activeCell="C7" sqref="C7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19.1640625" bestFit="1" customWidth="1"/>
    <col min="5" max="5" width="9.83203125" bestFit="1" customWidth="1"/>
  </cols>
  <sheetData>
    <row r="1" spans="1:6">
      <c r="A1" t="s">
        <v>142</v>
      </c>
    </row>
    <row r="2" spans="1:6">
      <c r="A2" t="s">
        <v>2</v>
      </c>
      <c r="B2" t="s">
        <v>45</v>
      </c>
      <c r="C2" t="s">
        <v>0</v>
      </c>
      <c r="D2" t="s">
        <v>1</v>
      </c>
      <c r="E2" t="s">
        <v>143</v>
      </c>
      <c r="F2" t="s">
        <v>8</v>
      </c>
    </row>
    <row r="3" spans="1:6">
      <c r="A3" t="s">
        <v>105</v>
      </c>
      <c r="B3" t="s">
        <v>128</v>
      </c>
      <c r="C3" t="s">
        <v>128</v>
      </c>
      <c r="D3" t="s">
        <v>32</v>
      </c>
      <c r="E3">
        <v>1</v>
      </c>
      <c r="F3">
        <v>1</v>
      </c>
    </row>
    <row r="4" spans="1:6">
      <c r="A4" t="s">
        <v>32</v>
      </c>
      <c r="B4" t="s">
        <v>129</v>
      </c>
      <c r="C4" t="s">
        <v>129</v>
      </c>
      <c r="D4" t="s">
        <v>33</v>
      </c>
      <c r="E4">
        <v>1</v>
      </c>
      <c r="F4">
        <v>1</v>
      </c>
    </row>
    <row r="5" spans="1:6">
      <c r="A5" t="s">
        <v>32</v>
      </c>
      <c r="B5" t="s">
        <v>132</v>
      </c>
      <c r="C5" t="s">
        <v>132</v>
      </c>
      <c r="D5" t="s">
        <v>40</v>
      </c>
      <c r="E5">
        <v>1</v>
      </c>
      <c r="F5">
        <v>1</v>
      </c>
    </row>
    <row r="6" spans="1:6">
      <c r="A6" t="s">
        <v>33</v>
      </c>
      <c r="B6" t="s">
        <v>130</v>
      </c>
      <c r="C6" t="s">
        <v>130</v>
      </c>
      <c r="D6" t="s">
        <v>35</v>
      </c>
      <c r="E6">
        <v>1</v>
      </c>
      <c r="F6">
        <v>1</v>
      </c>
    </row>
    <row r="7" spans="1:6">
      <c r="A7" t="s">
        <v>33</v>
      </c>
      <c r="B7" t="s">
        <v>131</v>
      </c>
      <c r="C7" t="s">
        <v>131</v>
      </c>
      <c r="D7" t="s">
        <v>36</v>
      </c>
      <c r="E7">
        <v>1</v>
      </c>
      <c r="F7">
        <v>1</v>
      </c>
    </row>
    <row r="8" spans="1:6">
      <c r="A8" t="s">
        <v>34</v>
      </c>
      <c r="B8" t="s">
        <v>128</v>
      </c>
      <c r="C8" t="s">
        <v>128</v>
      </c>
      <c r="D8" t="s">
        <v>37</v>
      </c>
      <c r="E8">
        <v>1</v>
      </c>
      <c r="F8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H30" sqref="H30"/>
    </sheetView>
  </sheetViews>
  <sheetFormatPr baseColWidth="10" defaultRowHeight="15" x14ac:dyDescent="0"/>
  <cols>
    <col min="2" max="2" width="12.6640625" bestFit="1" customWidth="1"/>
  </cols>
  <sheetData>
    <row r="1" spans="1:6">
      <c r="A1" t="s">
        <v>168</v>
      </c>
    </row>
    <row r="2" spans="1:6">
      <c r="A2" t="s">
        <v>2</v>
      </c>
      <c r="B2" t="s">
        <v>45</v>
      </c>
      <c r="C2" t="s">
        <v>169</v>
      </c>
      <c r="D2" t="s">
        <v>0</v>
      </c>
      <c r="E2" t="s">
        <v>170</v>
      </c>
      <c r="F2" t="s">
        <v>8</v>
      </c>
    </row>
    <row r="3" spans="1:6">
      <c r="A3" t="s">
        <v>105</v>
      </c>
      <c r="B3" t="s">
        <v>125</v>
      </c>
      <c r="C3">
        <v>4.8</v>
      </c>
      <c r="D3" t="s">
        <v>125</v>
      </c>
      <c r="E3" t="s">
        <v>171</v>
      </c>
      <c r="F3">
        <v>1</v>
      </c>
    </row>
    <row r="4" spans="1:6">
      <c r="A4" t="s">
        <v>105</v>
      </c>
      <c r="B4" t="s">
        <v>124</v>
      </c>
      <c r="C4">
        <v>15</v>
      </c>
      <c r="D4" t="s">
        <v>124</v>
      </c>
      <c r="E4" t="s">
        <v>171</v>
      </c>
      <c r="F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128"/>
  <sheetViews>
    <sheetView tabSelected="1" topLeftCell="A57" zoomScale="160" zoomScaleNormal="160" zoomScalePageLayoutView="160" workbookViewId="0">
      <selection activeCell="E70" sqref="E70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5.1640625" bestFit="1" customWidth="1"/>
    <col min="5" max="6" width="5.1640625" customWidth="1"/>
    <col min="7" max="7" width="5.1640625" bestFit="1" customWidth="1"/>
  </cols>
  <sheetData>
    <row r="1" spans="1:9">
      <c r="A1" t="s">
        <v>30</v>
      </c>
    </row>
    <row r="2" spans="1:9">
      <c r="A2" t="s">
        <v>2</v>
      </c>
      <c r="B2" t="s">
        <v>45</v>
      </c>
      <c r="C2" t="s">
        <v>107</v>
      </c>
      <c r="D2">
        <v>1971</v>
      </c>
      <c r="E2">
        <v>2010</v>
      </c>
      <c r="F2">
        <v>2015</v>
      </c>
      <c r="G2">
        <v>2020</v>
      </c>
      <c r="H2">
        <v>2050</v>
      </c>
      <c r="I2">
        <v>2100</v>
      </c>
    </row>
    <row r="3" spans="1:9">
      <c r="A3" t="s">
        <v>38</v>
      </c>
      <c r="B3" t="s">
        <v>47</v>
      </c>
      <c r="C3" t="s">
        <v>108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34</v>
      </c>
      <c r="B4" t="s">
        <v>58</v>
      </c>
      <c r="C4" t="s">
        <v>108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5" spans="1:9">
      <c r="A5" t="s">
        <v>34</v>
      </c>
      <c r="B5" t="s">
        <v>56</v>
      </c>
      <c r="C5" t="s">
        <v>115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</row>
    <row r="6" spans="1:9">
      <c r="A6" t="s">
        <v>34</v>
      </c>
      <c r="B6" t="s">
        <v>56</v>
      </c>
      <c r="C6" t="s">
        <v>114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34</v>
      </c>
      <c r="B7" t="s">
        <v>56</v>
      </c>
      <c r="C7" t="s">
        <v>119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</row>
    <row r="8" spans="1:9">
      <c r="A8" t="s">
        <v>34</v>
      </c>
      <c r="B8" t="s">
        <v>56</v>
      </c>
      <c r="C8" t="s">
        <v>110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 t="s">
        <v>34</v>
      </c>
      <c r="B9" t="s">
        <v>56</v>
      </c>
      <c r="C9" t="s">
        <v>108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 t="s">
        <v>37</v>
      </c>
      <c r="B10" t="s">
        <v>80</v>
      </c>
      <c r="C10" t="s">
        <v>108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 t="s">
        <v>37</v>
      </c>
      <c r="B11" t="s">
        <v>80</v>
      </c>
      <c r="C11" t="s">
        <v>109</v>
      </c>
      <c r="D11">
        <v>0</v>
      </c>
      <c r="E11">
        <v>0</v>
      </c>
      <c r="F11">
        <v>1</v>
      </c>
      <c r="G11">
        <v>1</v>
      </c>
      <c r="H11">
        <v>1</v>
      </c>
      <c r="I11">
        <v>1</v>
      </c>
    </row>
    <row r="12" spans="1:9">
      <c r="A12" t="s">
        <v>37</v>
      </c>
      <c r="B12" t="s">
        <v>89</v>
      </c>
      <c r="C12" t="s">
        <v>108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>
      <c r="A13" t="s">
        <v>37</v>
      </c>
      <c r="B13" t="s">
        <v>89</v>
      </c>
      <c r="C13" t="s">
        <v>109</v>
      </c>
      <c r="D13">
        <v>0</v>
      </c>
      <c r="E13">
        <v>0</v>
      </c>
      <c r="F13">
        <v>1</v>
      </c>
      <c r="G13">
        <v>1</v>
      </c>
      <c r="H13">
        <v>1</v>
      </c>
      <c r="I13">
        <v>1</v>
      </c>
    </row>
    <row r="14" spans="1:9">
      <c r="A14" t="s">
        <v>37</v>
      </c>
      <c r="B14" t="s">
        <v>93</v>
      </c>
      <c r="C14" t="s">
        <v>108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>
      <c r="A15" t="s">
        <v>37</v>
      </c>
      <c r="B15" t="s">
        <v>93</v>
      </c>
      <c r="C15" t="s">
        <v>109</v>
      </c>
      <c r="D15">
        <v>0</v>
      </c>
      <c r="E15">
        <v>0</v>
      </c>
      <c r="F15">
        <v>1</v>
      </c>
      <c r="G15">
        <v>1</v>
      </c>
      <c r="H15">
        <v>1</v>
      </c>
      <c r="I15">
        <v>1</v>
      </c>
    </row>
    <row r="16" spans="1:9">
      <c r="A16" t="s">
        <v>37</v>
      </c>
      <c r="B16" t="s">
        <v>83</v>
      </c>
      <c r="C16" t="s">
        <v>108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</row>
    <row r="17" spans="1:9">
      <c r="A17" t="s">
        <v>37</v>
      </c>
      <c r="B17" t="s">
        <v>83</v>
      </c>
      <c r="C17" t="s">
        <v>109</v>
      </c>
      <c r="D17">
        <v>0</v>
      </c>
      <c r="E17">
        <v>0</v>
      </c>
      <c r="F17">
        <v>1</v>
      </c>
      <c r="G17">
        <v>1</v>
      </c>
      <c r="H17">
        <v>1</v>
      </c>
      <c r="I17">
        <v>1</v>
      </c>
    </row>
    <row r="18" spans="1:9">
      <c r="A18" t="s">
        <v>37</v>
      </c>
      <c r="B18" t="s">
        <v>74</v>
      </c>
      <c r="C18" t="s">
        <v>108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>
      <c r="A19" t="s">
        <v>37</v>
      </c>
      <c r="B19" t="s">
        <v>74</v>
      </c>
      <c r="C19" t="s">
        <v>109</v>
      </c>
      <c r="D19">
        <v>0</v>
      </c>
      <c r="E19">
        <v>0</v>
      </c>
      <c r="F19">
        <v>1</v>
      </c>
      <c r="G19">
        <v>1</v>
      </c>
      <c r="H19">
        <v>1</v>
      </c>
      <c r="I19">
        <v>1</v>
      </c>
    </row>
    <row r="20" spans="1:9">
      <c r="A20" t="s">
        <v>37</v>
      </c>
      <c r="B20" t="s">
        <v>87</v>
      </c>
      <c r="C20" t="s">
        <v>108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37</v>
      </c>
      <c r="B21" t="s">
        <v>87</v>
      </c>
      <c r="C21" t="s">
        <v>109</v>
      </c>
      <c r="D21">
        <v>0</v>
      </c>
      <c r="E21">
        <v>0</v>
      </c>
      <c r="F21">
        <v>1</v>
      </c>
      <c r="G21">
        <v>1</v>
      </c>
      <c r="H21">
        <v>1</v>
      </c>
      <c r="I21">
        <v>1</v>
      </c>
    </row>
    <row r="22" spans="1:9">
      <c r="A22" t="s">
        <v>37</v>
      </c>
      <c r="B22" t="s">
        <v>68</v>
      </c>
      <c r="C22" t="s">
        <v>108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37</v>
      </c>
      <c r="B23" t="s">
        <v>68</v>
      </c>
      <c r="C23" t="s">
        <v>109</v>
      </c>
      <c r="D23">
        <v>0</v>
      </c>
      <c r="E23">
        <v>0</v>
      </c>
      <c r="F23">
        <v>1</v>
      </c>
      <c r="G23">
        <v>1</v>
      </c>
      <c r="H23">
        <v>1</v>
      </c>
      <c r="I23">
        <v>1</v>
      </c>
    </row>
    <row r="24" spans="1:9">
      <c r="A24" t="s">
        <v>37</v>
      </c>
      <c r="B24" t="s">
        <v>90</v>
      </c>
      <c r="C24" t="s">
        <v>108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37</v>
      </c>
      <c r="B25" t="s">
        <v>90</v>
      </c>
      <c r="C25" t="s">
        <v>109</v>
      </c>
      <c r="D25">
        <v>0</v>
      </c>
      <c r="E25">
        <v>0</v>
      </c>
      <c r="F25">
        <v>1</v>
      </c>
      <c r="G25">
        <v>1</v>
      </c>
      <c r="H25">
        <v>1</v>
      </c>
      <c r="I25">
        <v>1</v>
      </c>
    </row>
    <row r="26" spans="1:9">
      <c r="A26" t="s">
        <v>37</v>
      </c>
      <c r="B26" t="s">
        <v>60</v>
      </c>
      <c r="C26" t="s">
        <v>108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37</v>
      </c>
      <c r="B27" t="s">
        <v>60</v>
      </c>
      <c r="C27" t="s">
        <v>109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</row>
    <row r="28" spans="1:9">
      <c r="A28" t="s">
        <v>37</v>
      </c>
      <c r="B28" t="s">
        <v>84</v>
      </c>
      <c r="C28" t="s">
        <v>108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37</v>
      </c>
      <c r="B29" t="s">
        <v>84</v>
      </c>
      <c r="C29" t="s">
        <v>109</v>
      </c>
      <c r="D29">
        <v>0</v>
      </c>
      <c r="E29">
        <v>0</v>
      </c>
      <c r="F29">
        <v>1</v>
      </c>
      <c r="G29">
        <v>1</v>
      </c>
      <c r="H29">
        <v>1</v>
      </c>
      <c r="I29">
        <v>1</v>
      </c>
    </row>
    <row r="30" spans="1:9">
      <c r="A30" t="s">
        <v>37</v>
      </c>
      <c r="B30" t="s">
        <v>76</v>
      </c>
      <c r="C30" t="s">
        <v>108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</row>
    <row r="31" spans="1:9">
      <c r="A31" t="s">
        <v>37</v>
      </c>
      <c r="B31" t="s">
        <v>76</v>
      </c>
      <c r="C31" t="s">
        <v>109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</row>
    <row r="32" spans="1:9">
      <c r="A32" t="s">
        <v>37</v>
      </c>
      <c r="B32" t="s">
        <v>81</v>
      </c>
      <c r="C32" t="s">
        <v>108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</row>
    <row r="33" spans="1:9">
      <c r="A33" t="s">
        <v>37</v>
      </c>
      <c r="B33" t="s">
        <v>81</v>
      </c>
      <c r="C33" t="s">
        <v>109</v>
      </c>
      <c r="D33">
        <v>0</v>
      </c>
      <c r="E33">
        <v>0</v>
      </c>
      <c r="F33">
        <v>1</v>
      </c>
      <c r="G33">
        <v>1</v>
      </c>
      <c r="H33">
        <v>1</v>
      </c>
      <c r="I33">
        <v>1</v>
      </c>
    </row>
    <row r="34" spans="1:9">
      <c r="A34" t="s">
        <v>37</v>
      </c>
      <c r="B34" t="s">
        <v>69</v>
      </c>
      <c r="C34" t="s">
        <v>108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</row>
    <row r="35" spans="1:9">
      <c r="A35" t="s">
        <v>37</v>
      </c>
      <c r="B35" t="s">
        <v>69</v>
      </c>
      <c r="C35" t="s">
        <v>109</v>
      </c>
      <c r="D35">
        <v>0</v>
      </c>
      <c r="E35">
        <v>0</v>
      </c>
      <c r="F35">
        <v>1</v>
      </c>
      <c r="G35">
        <v>1</v>
      </c>
      <c r="H35">
        <v>1</v>
      </c>
      <c r="I35">
        <v>1</v>
      </c>
    </row>
    <row r="36" spans="1:9">
      <c r="A36" t="s">
        <v>37</v>
      </c>
      <c r="B36" t="s">
        <v>86</v>
      </c>
      <c r="C36" t="s">
        <v>108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</row>
    <row r="37" spans="1:9">
      <c r="A37" t="s">
        <v>37</v>
      </c>
      <c r="B37" t="s">
        <v>86</v>
      </c>
      <c r="C37" t="s">
        <v>109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</row>
    <row r="38" spans="1:9">
      <c r="A38" t="s">
        <v>37</v>
      </c>
      <c r="B38" t="s">
        <v>61</v>
      </c>
      <c r="C38" t="s">
        <v>108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</row>
    <row r="39" spans="1:9">
      <c r="A39" t="s">
        <v>37</v>
      </c>
      <c r="B39" t="s">
        <v>61</v>
      </c>
      <c r="C39" t="s">
        <v>109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</row>
    <row r="40" spans="1:9">
      <c r="A40" t="s">
        <v>37</v>
      </c>
      <c r="B40" t="s">
        <v>91</v>
      </c>
      <c r="C40" t="s">
        <v>108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</row>
    <row r="41" spans="1:9">
      <c r="A41" t="s">
        <v>37</v>
      </c>
      <c r="B41" t="s">
        <v>91</v>
      </c>
      <c r="C41" t="s">
        <v>109</v>
      </c>
      <c r="D41">
        <v>0</v>
      </c>
      <c r="E41">
        <v>0</v>
      </c>
      <c r="F41">
        <v>1</v>
      </c>
      <c r="G41">
        <v>1</v>
      </c>
      <c r="H41">
        <v>1</v>
      </c>
      <c r="I41">
        <v>1</v>
      </c>
    </row>
    <row r="42" spans="1:9">
      <c r="A42" t="s">
        <v>37</v>
      </c>
      <c r="B42" t="s">
        <v>85</v>
      </c>
      <c r="C42" t="s">
        <v>108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 t="s">
        <v>37</v>
      </c>
      <c r="B43" t="s">
        <v>85</v>
      </c>
      <c r="C43" t="s">
        <v>109</v>
      </c>
      <c r="D43">
        <v>0</v>
      </c>
      <c r="E43">
        <v>0</v>
      </c>
      <c r="F43">
        <v>1</v>
      </c>
      <c r="G43">
        <v>1</v>
      </c>
      <c r="H43">
        <v>1</v>
      </c>
      <c r="I43">
        <v>1</v>
      </c>
    </row>
    <row r="44" spans="1:9">
      <c r="A44" t="s">
        <v>37</v>
      </c>
      <c r="B44" t="s">
        <v>92</v>
      </c>
      <c r="C44" t="s">
        <v>108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</row>
    <row r="45" spans="1:9">
      <c r="A45" t="s">
        <v>37</v>
      </c>
      <c r="B45" t="s">
        <v>92</v>
      </c>
      <c r="C45" t="s">
        <v>109</v>
      </c>
      <c r="D45">
        <v>0</v>
      </c>
      <c r="E45">
        <v>0</v>
      </c>
      <c r="F45">
        <v>1</v>
      </c>
      <c r="G45">
        <v>1</v>
      </c>
      <c r="H45">
        <v>1</v>
      </c>
      <c r="I45">
        <v>1</v>
      </c>
    </row>
    <row r="46" spans="1:9">
      <c r="A46" t="s">
        <v>37</v>
      </c>
      <c r="B46" t="s">
        <v>77</v>
      </c>
      <c r="C46" t="s">
        <v>108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</row>
    <row r="47" spans="1:9">
      <c r="A47" t="s">
        <v>37</v>
      </c>
      <c r="B47" t="s">
        <v>77</v>
      </c>
      <c r="C47" t="s">
        <v>109</v>
      </c>
      <c r="D47">
        <v>0</v>
      </c>
      <c r="E47">
        <v>0</v>
      </c>
      <c r="F47">
        <v>1</v>
      </c>
      <c r="G47">
        <v>1</v>
      </c>
      <c r="H47">
        <v>1</v>
      </c>
      <c r="I47">
        <v>1</v>
      </c>
    </row>
    <row r="48" spans="1:9">
      <c r="A48" t="s">
        <v>37</v>
      </c>
      <c r="B48" t="s">
        <v>62</v>
      </c>
      <c r="C48" t="s">
        <v>108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</row>
    <row r="49" spans="1:9">
      <c r="A49" t="s">
        <v>37</v>
      </c>
      <c r="B49" t="s">
        <v>62</v>
      </c>
      <c r="C49" t="s">
        <v>109</v>
      </c>
      <c r="D49">
        <v>0</v>
      </c>
      <c r="E49">
        <v>0</v>
      </c>
      <c r="F49">
        <v>1</v>
      </c>
      <c r="G49">
        <v>1</v>
      </c>
      <c r="H49">
        <v>1</v>
      </c>
      <c r="I49">
        <v>1</v>
      </c>
    </row>
    <row r="50" spans="1:9">
      <c r="A50" t="s">
        <v>37</v>
      </c>
      <c r="B50" t="s">
        <v>82</v>
      </c>
      <c r="C50" t="s">
        <v>108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</row>
    <row r="51" spans="1:9">
      <c r="A51" t="s">
        <v>37</v>
      </c>
      <c r="B51" t="s">
        <v>82</v>
      </c>
      <c r="C51" t="s">
        <v>109</v>
      </c>
      <c r="D51">
        <v>0</v>
      </c>
      <c r="E51">
        <v>0</v>
      </c>
      <c r="F51">
        <v>1</v>
      </c>
      <c r="G51">
        <v>1</v>
      </c>
      <c r="H51">
        <v>1</v>
      </c>
      <c r="I51">
        <v>1</v>
      </c>
    </row>
    <row r="52" spans="1:9">
      <c r="A52" t="s">
        <v>37</v>
      </c>
      <c r="B52" t="s">
        <v>73</v>
      </c>
      <c r="C52" t="s">
        <v>108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</row>
    <row r="53" spans="1:9">
      <c r="A53" t="s">
        <v>37</v>
      </c>
      <c r="B53" t="s">
        <v>73</v>
      </c>
      <c r="C53" t="s">
        <v>109</v>
      </c>
      <c r="D53">
        <v>0</v>
      </c>
      <c r="E53">
        <v>0</v>
      </c>
      <c r="F53">
        <v>1</v>
      </c>
      <c r="G53">
        <v>1</v>
      </c>
      <c r="H53">
        <v>1</v>
      </c>
      <c r="I53">
        <v>1</v>
      </c>
    </row>
    <row r="54" spans="1:9">
      <c r="A54" t="s">
        <v>37</v>
      </c>
      <c r="B54" t="s">
        <v>70</v>
      </c>
      <c r="C54" t="s">
        <v>108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</row>
    <row r="55" spans="1:9">
      <c r="A55" t="s">
        <v>37</v>
      </c>
      <c r="B55" t="s">
        <v>70</v>
      </c>
      <c r="C55" t="s">
        <v>109</v>
      </c>
      <c r="D55">
        <v>0</v>
      </c>
      <c r="E55">
        <v>0</v>
      </c>
      <c r="F55">
        <v>1</v>
      </c>
      <c r="G55">
        <v>1</v>
      </c>
      <c r="H55">
        <v>1</v>
      </c>
      <c r="I55">
        <v>1</v>
      </c>
    </row>
    <row r="56" spans="1:9">
      <c r="A56" t="s">
        <v>37</v>
      </c>
      <c r="B56" t="s">
        <v>63</v>
      </c>
      <c r="C56" t="s">
        <v>108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</row>
    <row r="57" spans="1:9">
      <c r="A57" t="s">
        <v>37</v>
      </c>
      <c r="B57" t="s">
        <v>63</v>
      </c>
      <c r="C57" t="s">
        <v>109</v>
      </c>
      <c r="D57">
        <v>0</v>
      </c>
      <c r="E57">
        <v>0</v>
      </c>
      <c r="F57">
        <v>1</v>
      </c>
      <c r="G57">
        <v>1</v>
      </c>
      <c r="H57">
        <v>1</v>
      </c>
      <c r="I57">
        <v>1</v>
      </c>
    </row>
    <row r="58" spans="1:9">
      <c r="A58" t="s">
        <v>105</v>
      </c>
      <c r="B58" t="s">
        <v>124</v>
      </c>
      <c r="C58" t="s">
        <v>124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</row>
    <row r="59" spans="1:9">
      <c r="A59" t="s">
        <v>105</v>
      </c>
      <c r="B59" t="s">
        <v>46</v>
      </c>
      <c r="C59" t="s">
        <v>108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</row>
    <row r="60" spans="1:9">
      <c r="A60" t="s">
        <v>105</v>
      </c>
      <c r="B60" t="s">
        <v>49</v>
      </c>
      <c r="C60" t="s">
        <v>110</v>
      </c>
      <c r="D60">
        <v>0</v>
      </c>
      <c r="E60">
        <v>0</v>
      </c>
      <c r="F60">
        <v>1</v>
      </c>
      <c r="G60">
        <v>1</v>
      </c>
      <c r="H60">
        <v>1</v>
      </c>
      <c r="I60">
        <v>1</v>
      </c>
    </row>
    <row r="61" spans="1:9">
      <c r="A61" t="s">
        <v>105</v>
      </c>
      <c r="B61" t="s">
        <v>57</v>
      </c>
      <c r="C61" t="s">
        <v>110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</row>
    <row r="62" spans="1:9">
      <c r="A62" t="s">
        <v>105</v>
      </c>
      <c r="B62" t="s">
        <v>57</v>
      </c>
      <c r="C62" t="s">
        <v>108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</row>
    <row r="63" spans="1:9">
      <c r="A63" t="s">
        <v>105</v>
      </c>
      <c r="B63" t="s">
        <v>57</v>
      </c>
      <c r="C63" t="s">
        <v>117</v>
      </c>
      <c r="D63">
        <v>0</v>
      </c>
      <c r="E63">
        <v>0</v>
      </c>
      <c r="F63">
        <v>0</v>
      </c>
      <c r="G63">
        <v>0</v>
      </c>
      <c r="H63">
        <v>1</v>
      </c>
      <c r="I63">
        <v>1</v>
      </c>
    </row>
    <row r="64" spans="1:9">
      <c r="A64" t="s">
        <v>105</v>
      </c>
      <c r="B64" t="s">
        <v>57</v>
      </c>
      <c r="C64" t="s">
        <v>116</v>
      </c>
      <c r="D64">
        <v>0</v>
      </c>
      <c r="E64">
        <v>0</v>
      </c>
      <c r="F64">
        <v>0</v>
      </c>
      <c r="G64">
        <v>0</v>
      </c>
      <c r="H64">
        <v>1</v>
      </c>
      <c r="I64">
        <v>1</v>
      </c>
    </row>
    <row r="65" spans="1:9">
      <c r="A65" t="s">
        <v>105</v>
      </c>
      <c r="B65" t="s">
        <v>125</v>
      </c>
      <c r="C65" t="s">
        <v>125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</row>
    <row r="66" spans="1:9">
      <c r="A66" t="s">
        <v>32</v>
      </c>
      <c r="B66" t="s">
        <v>48</v>
      </c>
      <c r="C66" t="s">
        <v>108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</row>
    <row r="67" spans="1:9">
      <c r="A67" t="s">
        <v>32</v>
      </c>
      <c r="B67" t="s">
        <v>48</v>
      </c>
      <c r="C67" t="s">
        <v>109</v>
      </c>
      <c r="D67">
        <v>0</v>
      </c>
      <c r="E67">
        <v>0</v>
      </c>
      <c r="F67">
        <v>1</v>
      </c>
      <c r="G67">
        <v>1</v>
      </c>
      <c r="H67">
        <v>1</v>
      </c>
      <c r="I67">
        <v>1</v>
      </c>
    </row>
    <row r="68" spans="1:9">
      <c r="A68" t="s">
        <v>40</v>
      </c>
      <c r="B68" t="s">
        <v>79</v>
      </c>
      <c r="C68" t="s">
        <v>108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</row>
    <row r="69" spans="1:9">
      <c r="A69" t="s">
        <v>40</v>
      </c>
      <c r="B69" t="s">
        <v>79</v>
      </c>
      <c r="C69" t="s">
        <v>109</v>
      </c>
      <c r="D69">
        <v>0</v>
      </c>
      <c r="E69">
        <v>0</v>
      </c>
      <c r="F69">
        <v>1</v>
      </c>
      <c r="G69">
        <v>1</v>
      </c>
      <c r="H69">
        <v>1</v>
      </c>
      <c r="I69">
        <v>1</v>
      </c>
    </row>
    <row r="70" spans="1:9">
      <c r="A70" t="s">
        <v>40</v>
      </c>
      <c r="B70" t="s">
        <v>78</v>
      </c>
      <c r="C70" t="s">
        <v>108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</row>
    <row r="71" spans="1:9">
      <c r="A71" t="s">
        <v>40</v>
      </c>
      <c r="B71" t="s">
        <v>78</v>
      </c>
      <c r="C71" t="s">
        <v>109</v>
      </c>
      <c r="D71">
        <v>0</v>
      </c>
      <c r="E71">
        <v>0</v>
      </c>
      <c r="F71">
        <v>1</v>
      </c>
      <c r="G71">
        <v>1</v>
      </c>
      <c r="H71">
        <v>1</v>
      </c>
      <c r="I71">
        <v>1</v>
      </c>
    </row>
    <row r="72" spans="1:9">
      <c r="A72" t="s">
        <v>33</v>
      </c>
      <c r="B72" t="s">
        <v>51</v>
      </c>
      <c r="C72" t="s">
        <v>108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</row>
    <row r="73" spans="1:9">
      <c r="A73" t="s">
        <v>33</v>
      </c>
      <c r="B73" t="s">
        <v>51</v>
      </c>
      <c r="C73" t="s">
        <v>109</v>
      </c>
      <c r="D73">
        <v>0</v>
      </c>
      <c r="E73">
        <v>0</v>
      </c>
      <c r="F73">
        <v>1</v>
      </c>
      <c r="G73">
        <v>1</v>
      </c>
      <c r="H73">
        <v>1</v>
      </c>
      <c r="I73">
        <v>1</v>
      </c>
    </row>
    <row r="74" spans="1:9">
      <c r="A74" t="s">
        <v>36</v>
      </c>
      <c r="B74" t="s">
        <v>71</v>
      </c>
      <c r="C74" t="s">
        <v>111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</row>
    <row r="75" spans="1:9">
      <c r="A75" t="s">
        <v>36</v>
      </c>
      <c r="B75" t="s">
        <v>71</v>
      </c>
      <c r="C75" t="s">
        <v>108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</row>
    <row r="76" spans="1:9">
      <c r="A76" t="s">
        <v>36</v>
      </c>
      <c r="B76" t="s">
        <v>64</v>
      </c>
      <c r="C76" t="s">
        <v>111</v>
      </c>
      <c r="D76">
        <v>0</v>
      </c>
      <c r="E76">
        <v>0</v>
      </c>
      <c r="F76">
        <v>1</v>
      </c>
      <c r="G76">
        <v>1</v>
      </c>
      <c r="H76">
        <v>1</v>
      </c>
      <c r="I76">
        <v>1</v>
      </c>
    </row>
    <row r="77" spans="1:9">
      <c r="A77" t="s">
        <v>36</v>
      </c>
      <c r="B77" t="s">
        <v>64</v>
      </c>
      <c r="C77" t="s">
        <v>108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</row>
    <row r="78" spans="1:9">
      <c r="A78" t="s">
        <v>36</v>
      </c>
      <c r="B78" t="s">
        <v>50</v>
      </c>
      <c r="C78" t="s">
        <v>111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</row>
    <row r="79" spans="1:9">
      <c r="A79" t="s">
        <v>36</v>
      </c>
      <c r="B79" t="s">
        <v>50</v>
      </c>
      <c r="C79" t="s">
        <v>118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36</v>
      </c>
      <c r="B80" t="s">
        <v>50</v>
      </c>
      <c r="C80" t="s">
        <v>108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</row>
    <row r="81" spans="1:9">
      <c r="A81" t="s">
        <v>36</v>
      </c>
      <c r="B81" t="s">
        <v>88</v>
      </c>
      <c r="C81" t="s">
        <v>111</v>
      </c>
      <c r="D81">
        <v>0</v>
      </c>
      <c r="E81">
        <v>0</v>
      </c>
      <c r="F81">
        <v>1</v>
      </c>
      <c r="G81">
        <v>1</v>
      </c>
      <c r="H81">
        <v>1</v>
      </c>
      <c r="I81">
        <v>1</v>
      </c>
    </row>
    <row r="82" spans="1:9">
      <c r="A82" t="s">
        <v>36</v>
      </c>
      <c r="B82" t="s">
        <v>88</v>
      </c>
      <c r="C82" t="s">
        <v>108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</row>
    <row r="83" spans="1:9">
      <c r="A83" t="s">
        <v>35</v>
      </c>
      <c r="B83" t="s">
        <v>54</v>
      </c>
      <c r="C83" t="s">
        <v>111</v>
      </c>
      <c r="D83">
        <v>0</v>
      </c>
      <c r="E83">
        <v>0</v>
      </c>
      <c r="F83">
        <v>1</v>
      </c>
      <c r="G83">
        <v>1</v>
      </c>
      <c r="H83">
        <v>1</v>
      </c>
      <c r="I83">
        <v>1</v>
      </c>
    </row>
    <row r="84" spans="1:9">
      <c r="A84" t="s">
        <v>35</v>
      </c>
      <c r="B84" t="s">
        <v>54</v>
      </c>
      <c r="C84" t="s">
        <v>113</v>
      </c>
      <c r="D84">
        <v>0</v>
      </c>
      <c r="E84">
        <v>0</v>
      </c>
      <c r="F84">
        <v>0</v>
      </c>
      <c r="G84">
        <v>1</v>
      </c>
      <c r="H84">
        <v>1</v>
      </c>
      <c r="I84">
        <v>1</v>
      </c>
    </row>
    <row r="85" spans="1:9">
      <c r="A85" t="s">
        <v>35</v>
      </c>
      <c r="B85" t="s">
        <v>54</v>
      </c>
      <c r="C85" t="s">
        <v>112</v>
      </c>
      <c r="D85">
        <v>0</v>
      </c>
      <c r="E85">
        <v>0</v>
      </c>
      <c r="F85">
        <v>1</v>
      </c>
      <c r="G85">
        <v>1</v>
      </c>
      <c r="H85">
        <v>1</v>
      </c>
      <c r="I85">
        <v>1</v>
      </c>
    </row>
    <row r="86" spans="1:9">
      <c r="A86" t="s">
        <v>35</v>
      </c>
      <c r="B86" t="s">
        <v>54</v>
      </c>
      <c r="C86" t="s">
        <v>108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</row>
    <row r="87" spans="1:9">
      <c r="A87" t="s">
        <v>35</v>
      </c>
      <c r="B87" t="s">
        <v>54</v>
      </c>
      <c r="C87" t="s">
        <v>109</v>
      </c>
      <c r="D87">
        <v>0</v>
      </c>
      <c r="E87">
        <v>0</v>
      </c>
      <c r="F87">
        <v>1</v>
      </c>
      <c r="G87">
        <v>1</v>
      </c>
      <c r="H87">
        <v>1</v>
      </c>
      <c r="I87">
        <v>1</v>
      </c>
    </row>
    <row r="88" spans="1:9">
      <c r="A88" t="s">
        <v>35</v>
      </c>
      <c r="B88" t="s">
        <v>66</v>
      </c>
      <c r="C88" t="s">
        <v>111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</row>
    <row r="89" spans="1:9">
      <c r="A89" t="s">
        <v>35</v>
      </c>
      <c r="B89" t="s">
        <v>66</v>
      </c>
      <c r="C89" t="s">
        <v>113</v>
      </c>
      <c r="D89">
        <v>0</v>
      </c>
      <c r="E89">
        <v>0</v>
      </c>
      <c r="F89">
        <v>0</v>
      </c>
      <c r="G89">
        <v>1</v>
      </c>
      <c r="H89">
        <v>1</v>
      </c>
      <c r="I89">
        <v>1</v>
      </c>
    </row>
    <row r="90" spans="1:9">
      <c r="A90" t="s">
        <v>35</v>
      </c>
      <c r="B90" t="s">
        <v>66</v>
      </c>
      <c r="C90" t="s">
        <v>112</v>
      </c>
      <c r="D90">
        <v>0</v>
      </c>
      <c r="E90">
        <v>0</v>
      </c>
      <c r="F90">
        <v>1</v>
      </c>
      <c r="G90">
        <v>1</v>
      </c>
      <c r="H90">
        <v>1</v>
      </c>
      <c r="I90">
        <v>1</v>
      </c>
    </row>
    <row r="91" spans="1:9">
      <c r="A91" t="s">
        <v>35</v>
      </c>
      <c r="B91" t="s">
        <v>66</v>
      </c>
      <c r="C91" t="s">
        <v>108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</row>
    <row r="92" spans="1:9">
      <c r="A92" t="s">
        <v>35</v>
      </c>
      <c r="B92" t="s">
        <v>66</v>
      </c>
      <c r="C92" t="s">
        <v>109</v>
      </c>
      <c r="D92">
        <v>0</v>
      </c>
      <c r="E92">
        <v>0</v>
      </c>
      <c r="F92">
        <v>1</v>
      </c>
      <c r="G92">
        <v>1</v>
      </c>
      <c r="H92">
        <v>1</v>
      </c>
      <c r="I92">
        <v>1</v>
      </c>
    </row>
    <row r="93" spans="1:9">
      <c r="A93" t="s">
        <v>35</v>
      </c>
      <c r="B93" t="s">
        <v>72</v>
      </c>
      <c r="C93" t="s">
        <v>111</v>
      </c>
      <c r="D93">
        <v>0</v>
      </c>
      <c r="E93">
        <v>0</v>
      </c>
      <c r="F93">
        <v>1</v>
      </c>
      <c r="G93">
        <v>1</v>
      </c>
      <c r="H93">
        <v>1</v>
      </c>
      <c r="I93">
        <v>1</v>
      </c>
    </row>
    <row r="94" spans="1:9">
      <c r="A94" t="s">
        <v>35</v>
      </c>
      <c r="B94" t="s">
        <v>72</v>
      </c>
      <c r="C94" t="s">
        <v>113</v>
      </c>
      <c r="D94">
        <v>0</v>
      </c>
      <c r="E94">
        <v>0</v>
      </c>
      <c r="F94">
        <v>0</v>
      </c>
      <c r="G94">
        <v>1</v>
      </c>
      <c r="H94">
        <v>1</v>
      </c>
      <c r="I94">
        <v>1</v>
      </c>
    </row>
    <row r="95" spans="1:9">
      <c r="A95" t="s">
        <v>35</v>
      </c>
      <c r="B95" t="s">
        <v>72</v>
      </c>
      <c r="C95" t="s">
        <v>112</v>
      </c>
      <c r="D95">
        <v>0</v>
      </c>
      <c r="E95">
        <v>0</v>
      </c>
      <c r="F95">
        <v>1</v>
      </c>
      <c r="G95">
        <v>1</v>
      </c>
      <c r="H95">
        <v>1</v>
      </c>
      <c r="I95">
        <v>1</v>
      </c>
    </row>
    <row r="96" spans="1:9">
      <c r="A96" t="s">
        <v>35</v>
      </c>
      <c r="B96" t="s">
        <v>72</v>
      </c>
      <c r="C96" t="s">
        <v>108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</row>
    <row r="97" spans="1:9">
      <c r="A97" t="s">
        <v>35</v>
      </c>
      <c r="B97" t="s">
        <v>72</v>
      </c>
      <c r="C97" t="s">
        <v>109</v>
      </c>
      <c r="D97">
        <v>0</v>
      </c>
      <c r="E97">
        <v>0</v>
      </c>
      <c r="F97">
        <v>1</v>
      </c>
      <c r="G97">
        <v>1</v>
      </c>
      <c r="H97">
        <v>1</v>
      </c>
      <c r="I97">
        <v>1</v>
      </c>
    </row>
    <row r="98" spans="1:9">
      <c r="A98" t="s">
        <v>35</v>
      </c>
      <c r="B98" t="s">
        <v>67</v>
      </c>
      <c r="C98" t="s">
        <v>111</v>
      </c>
      <c r="D98">
        <v>0</v>
      </c>
      <c r="E98">
        <v>0</v>
      </c>
      <c r="F98">
        <v>1</v>
      </c>
      <c r="G98">
        <v>1</v>
      </c>
      <c r="H98">
        <v>1</v>
      </c>
      <c r="I98">
        <v>1</v>
      </c>
    </row>
    <row r="99" spans="1:9">
      <c r="A99" t="s">
        <v>35</v>
      </c>
      <c r="B99" t="s">
        <v>67</v>
      </c>
      <c r="C99" t="s">
        <v>113</v>
      </c>
      <c r="D99">
        <v>0</v>
      </c>
      <c r="E99">
        <v>0</v>
      </c>
      <c r="F99">
        <v>0</v>
      </c>
      <c r="G99">
        <v>1</v>
      </c>
      <c r="H99">
        <v>1</v>
      </c>
      <c r="I99">
        <v>1</v>
      </c>
    </row>
    <row r="100" spans="1:9">
      <c r="A100" t="s">
        <v>35</v>
      </c>
      <c r="B100" t="s">
        <v>67</v>
      </c>
      <c r="C100" t="s">
        <v>112</v>
      </c>
      <c r="D100">
        <v>0</v>
      </c>
      <c r="E100">
        <v>0</v>
      </c>
      <c r="F100">
        <v>1</v>
      </c>
      <c r="G100">
        <v>1</v>
      </c>
      <c r="H100">
        <v>1</v>
      </c>
      <c r="I100">
        <v>1</v>
      </c>
    </row>
    <row r="101" spans="1:9">
      <c r="A101" t="s">
        <v>35</v>
      </c>
      <c r="B101" t="s">
        <v>67</v>
      </c>
      <c r="C101" t="s">
        <v>108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</row>
    <row r="102" spans="1:9">
      <c r="A102" t="s">
        <v>35</v>
      </c>
      <c r="B102" t="s">
        <v>67</v>
      </c>
      <c r="C102" t="s">
        <v>109</v>
      </c>
      <c r="D102">
        <v>0</v>
      </c>
      <c r="E102">
        <v>0</v>
      </c>
      <c r="F102">
        <v>1</v>
      </c>
      <c r="G102">
        <v>1</v>
      </c>
      <c r="H102">
        <v>1</v>
      </c>
      <c r="I102">
        <v>1</v>
      </c>
    </row>
    <row r="103" spans="1:9">
      <c r="A103" t="s">
        <v>35</v>
      </c>
      <c r="B103" t="s">
        <v>65</v>
      </c>
      <c r="C103" t="s">
        <v>111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1</v>
      </c>
    </row>
    <row r="104" spans="1:9">
      <c r="A104" t="s">
        <v>35</v>
      </c>
      <c r="B104" t="s">
        <v>65</v>
      </c>
      <c r="C104" t="s">
        <v>113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1</v>
      </c>
    </row>
    <row r="105" spans="1:9">
      <c r="A105" t="s">
        <v>35</v>
      </c>
      <c r="B105" t="s">
        <v>65</v>
      </c>
      <c r="C105" t="s">
        <v>112</v>
      </c>
      <c r="D105">
        <v>0</v>
      </c>
      <c r="E105">
        <v>0</v>
      </c>
      <c r="F105">
        <v>1</v>
      </c>
      <c r="G105">
        <v>1</v>
      </c>
      <c r="H105">
        <v>1</v>
      </c>
      <c r="I105">
        <v>1</v>
      </c>
    </row>
    <row r="106" spans="1:9">
      <c r="A106" t="s">
        <v>35</v>
      </c>
      <c r="B106" t="s">
        <v>65</v>
      </c>
      <c r="C106" t="s">
        <v>108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</row>
    <row r="107" spans="1:9">
      <c r="A107" t="s">
        <v>35</v>
      </c>
      <c r="B107" t="s">
        <v>65</v>
      </c>
      <c r="C107" t="s">
        <v>109</v>
      </c>
      <c r="D107">
        <v>0</v>
      </c>
      <c r="E107">
        <v>0</v>
      </c>
      <c r="F107">
        <v>1</v>
      </c>
      <c r="G107">
        <v>1</v>
      </c>
      <c r="H107">
        <v>1</v>
      </c>
      <c r="I107">
        <v>1</v>
      </c>
    </row>
    <row r="108" spans="1:9">
      <c r="A108" t="s">
        <v>35</v>
      </c>
      <c r="B108" t="s">
        <v>52</v>
      </c>
      <c r="C108" t="s">
        <v>111</v>
      </c>
      <c r="D108">
        <v>0</v>
      </c>
      <c r="E108">
        <v>0</v>
      </c>
      <c r="F108">
        <v>1</v>
      </c>
      <c r="G108">
        <v>1</v>
      </c>
      <c r="H108">
        <v>1</v>
      </c>
      <c r="I108">
        <v>1</v>
      </c>
    </row>
    <row r="109" spans="1:9">
      <c r="A109" t="s">
        <v>35</v>
      </c>
      <c r="B109" t="s">
        <v>52</v>
      </c>
      <c r="C109" t="s">
        <v>113</v>
      </c>
      <c r="D109">
        <v>0</v>
      </c>
      <c r="E109">
        <v>0</v>
      </c>
      <c r="F109">
        <v>0</v>
      </c>
      <c r="G109">
        <v>1</v>
      </c>
      <c r="H109">
        <v>1</v>
      </c>
      <c r="I109">
        <v>1</v>
      </c>
    </row>
    <row r="110" spans="1:9">
      <c r="A110" t="s">
        <v>35</v>
      </c>
      <c r="B110" t="s">
        <v>52</v>
      </c>
      <c r="C110" t="s">
        <v>112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</row>
    <row r="111" spans="1:9">
      <c r="A111" t="s">
        <v>35</v>
      </c>
      <c r="B111" t="s">
        <v>52</v>
      </c>
      <c r="C111" t="s">
        <v>108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</row>
    <row r="112" spans="1:9">
      <c r="A112" t="s">
        <v>35</v>
      </c>
      <c r="B112" t="s">
        <v>52</v>
      </c>
      <c r="C112" t="s">
        <v>109</v>
      </c>
      <c r="D112">
        <v>0</v>
      </c>
      <c r="E112">
        <v>0</v>
      </c>
      <c r="F112">
        <v>1</v>
      </c>
      <c r="G112">
        <v>1</v>
      </c>
      <c r="H112">
        <v>1</v>
      </c>
      <c r="I112">
        <v>1</v>
      </c>
    </row>
    <row r="113" spans="1:9">
      <c r="A113" t="s">
        <v>35</v>
      </c>
      <c r="B113" t="s">
        <v>55</v>
      </c>
      <c r="C113" t="s">
        <v>111</v>
      </c>
      <c r="D113">
        <v>0</v>
      </c>
      <c r="E113">
        <v>0</v>
      </c>
      <c r="F113">
        <v>1</v>
      </c>
      <c r="G113">
        <v>1</v>
      </c>
      <c r="H113">
        <v>1</v>
      </c>
      <c r="I113">
        <v>1</v>
      </c>
    </row>
    <row r="114" spans="1:9">
      <c r="A114" t="s">
        <v>35</v>
      </c>
      <c r="B114" t="s">
        <v>55</v>
      </c>
      <c r="C114" t="s">
        <v>113</v>
      </c>
      <c r="D114">
        <v>0</v>
      </c>
      <c r="E114">
        <v>0</v>
      </c>
      <c r="F114">
        <v>0</v>
      </c>
      <c r="G114">
        <v>1</v>
      </c>
      <c r="H114">
        <v>1</v>
      </c>
      <c r="I114">
        <v>1</v>
      </c>
    </row>
    <row r="115" spans="1:9">
      <c r="A115" t="s">
        <v>35</v>
      </c>
      <c r="B115" t="s">
        <v>55</v>
      </c>
      <c r="C115" t="s">
        <v>112</v>
      </c>
      <c r="D115">
        <v>0</v>
      </c>
      <c r="E115">
        <v>0</v>
      </c>
      <c r="F115">
        <v>1</v>
      </c>
      <c r="G115">
        <v>1</v>
      </c>
      <c r="H115">
        <v>1</v>
      </c>
      <c r="I115">
        <v>1</v>
      </c>
    </row>
    <row r="116" spans="1:9">
      <c r="A116" t="s">
        <v>35</v>
      </c>
      <c r="B116" t="s">
        <v>55</v>
      </c>
      <c r="C116" t="s">
        <v>108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</row>
    <row r="117" spans="1:9">
      <c r="A117" t="s">
        <v>35</v>
      </c>
      <c r="B117" t="s">
        <v>55</v>
      </c>
      <c r="C117" t="s">
        <v>109</v>
      </c>
      <c r="D117">
        <v>0</v>
      </c>
      <c r="E117">
        <v>0</v>
      </c>
      <c r="F117">
        <v>1</v>
      </c>
      <c r="G117">
        <v>1</v>
      </c>
      <c r="H117">
        <v>1</v>
      </c>
      <c r="I117">
        <v>1</v>
      </c>
    </row>
    <row r="118" spans="1:9">
      <c r="A118" t="s">
        <v>35</v>
      </c>
      <c r="B118" t="s">
        <v>53</v>
      </c>
      <c r="C118" t="s">
        <v>111</v>
      </c>
      <c r="D118">
        <v>0</v>
      </c>
      <c r="E118">
        <v>0</v>
      </c>
      <c r="F118">
        <v>1</v>
      </c>
      <c r="G118">
        <v>1</v>
      </c>
      <c r="H118">
        <v>1</v>
      </c>
      <c r="I118">
        <v>1</v>
      </c>
    </row>
    <row r="119" spans="1:9">
      <c r="A119" t="s">
        <v>35</v>
      </c>
      <c r="B119" t="s">
        <v>53</v>
      </c>
      <c r="C119" t="s">
        <v>113</v>
      </c>
      <c r="D119">
        <v>0</v>
      </c>
      <c r="E119">
        <v>0</v>
      </c>
      <c r="F119">
        <v>0</v>
      </c>
      <c r="G119">
        <v>1</v>
      </c>
      <c r="H119">
        <v>1</v>
      </c>
      <c r="I119">
        <v>1</v>
      </c>
    </row>
    <row r="120" spans="1:9">
      <c r="A120" t="s">
        <v>35</v>
      </c>
      <c r="B120" t="s">
        <v>53</v>
      </c>
      <c r="C120" t="s">
        <v>112</v>
      </c>
      <c r="D120">
        <v>0</v>
      </c>
      <c r="E120">
        <v>0</v>
      </c>
      <c r="F120">
        <v>1</v>
      </c>
      <c r="G120">
        <v>1</v>
      </c>
      <c r="H120">
        <v>1</v>
      </c>
      <c r="I120">
        <v>1</v>
      </c>
    </row>
    <row r="121" spans="1:9">
      <c r="A121" t="s">
        <v>35</v>
      </c>
      <c r="B121" t="s">
        <v>53</v>
      </c>
      <c r="C121" t="s">
        <v>108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</row>
    <row r="122" spans="1:9">
      <c r="A122" t="s">
        <v>35</v>
      </c>
      <c r="B122" t="s">
        <v>53</v>
      </c>
      <c r="C122" t="s">
        <v>109</v>
      </c>
      <c r="D122">
        <v>0</v>
      </c>
      <c r="E122">
        <v>0</v>
      </c>
      <c r="F122">
        <v>1</v>
      </c>
      <c r="G122">
        <v>1</v>
      </c>
      <c r="H122">
        <v>1</v>
      </c>
      <c r="I122">
        <v>1</v>
      </c>
    </row>
    <row r="123" spans="1:9">
      <c r="A123" t="s">
        <v>35</v>
      </c>
      <c r="B123" t="s">
        <v>75</v>
      </c>
      <c r="C123" t="s">
        <v>111</v>
      </c>
      <c r="D123">
        <v>0</v>
      </c>
      <c r="E123">
        <v>0</v>
      </c>
      <c r="F123">
        <v>1</v>
      </c>
      <c r="G123">
        <v>1</v>
      </c>
      <c r="H123">
        <v>1</v>
      </c>
      <c r="I123">
        <v>1</v>
      </c>
    </row>
    <row r="124" spans="1:9">
      <c r="A124" t="s">
        <v>35</v>
      </c>
      <c r="B124" t="s">
        <v>75</v>
      </c>
      <c r="C124" t="s">
        <v>113</v>
      </c>
      <c r="D124">
        <v>0</v>
      </c>
      <c r="E124">
        <v>0</v>
      </c>
      <c r="F124">
        <v>0</v>
      </c>
      <c r="G124">
        <v>1</v>
      </c>
      <c r="H124">
        <v>1</v>
      </c>
      <c r="I124">
        <v>1</v>
      </c>
    </row>
    <row r="125" spans="1:9">
      <c r="A125" t="s">
        <v>35</v>
      </c>
      <c r="B125" t="s">
        <v>75</v>
      </c>
      <c r="C125" t="s">
        <v>112</v>
      </c>
      <c r="D125">
        <v>0</v>
      </c>
      <c r="E125">
        <v>0</v>
      </c>
      <c r="F125">
        <v>1</v>
      </c>
      <c r="G125">
        <v>1</v>
      </c>
      <c r="H125">
        <v>1</v>
      </c>
      <c r="I125">
        <v>1</v>
      </c>
    </row>
    <row r="126" spans="1:9">
      <c r="A126" t="s">
        <v>35</v>
      </c>
      <c r="B126" t="s">
        <v>75</v>
      </c>
      <c r="C126" t="s">
        <v>108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</row>
    <row r="127" spans="1:9">
      <c r="A127" t="s">
        <v>35</v>
      </c>
      <c r="B127" t="s">
        <v>75</v>
      </c>
      <c r="C127" t="s">
        <v>109</v>
      </c>
      <c r="D127">
        <v>0</v>
      </c>
      <c r="E127">
        <v>0</v>
      </c>
      <c r="F127">
        <v>1</v>
      </c>
      <c r="G127">
        <v>1</v>
      </c>
      <c r="H127">
        <v>1</v>
      </c>
      <c r="I127">
        <v>1</v>
      </c>
    </row>
    <row r="128" spans="1:9">
      <c r="A128" t="s">
        <v>39</v>
      </c>
      <c r="B128" t="s">
        <v>59</v>
      </c>
      <c r="C128" t="s">
        <v>108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</row>
  </sheetData>
  <sortState ref="A3:H126">
    <sortCondition ref="A3:A126"/>
    <sortCondition ref="B3:B12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121"/>
  <sheetViews>
    <sheetView topLeftCell="A66" zoomScale="160" zoomScaleNormal="160" zoomScalePageLayoutView="160" workbookViewId="0">
      <selection activeCell="G73" sqref="G73"/>
    </sheetView>
  </sheetViews>
  <sheetFormatPr baseColWidth="10" defaultRowHeight="15" x14ac:dyDescent="0"/>
  <cols>
    <col min="1" max="1" width="18.5" customWidth="1"/>
    <col min="2" max="2" width="19.5" bestFit="1" customWidth="1"/>
    <col min="3" max="3" width="18.1640625" bestFit="1" customWidth="1"/>
    <col min="4" max="4" width="11.83203125" bestFit="1" customWidth="1"/>
    <col min="5" max="5" width="18.1640625" bestFit="1" customWidth="1"/>
    <col min="6" max="6" width="8.5" bestFit="1" customWidth="1"/>
    <col min="7" max="7" width="19.1640625" bestFit="1" customWidth="1"/>
  </cols>
  <sheetData>
    <row r="1" spans="1:7">
      <c r="A1" t="s">
        <v>126</v>
      </c>
    </row>
    <row r="2" spans="1:7">
      <c r="A2" t="s">
        <v>2</v>
      </c>
      <c r="B2" t="s">
        <v>45</v>
      </c>
      <c r="C2" t="s">
        <v>107</v>
      </c>
      <c r="D2" s="2" t="s">
        <v>16</v>
      </c>
      <c r="E2" s="2" t="s">
        <v>9</v>
      </c>
      <c r="F2" s="2" t="s">
        <v>10</v>
      </c>
      <c r="G2" s="2" t="s">
        <v>11</v>
      </c>
    </row>
    <row r="3" spans="1:7">
      <c r="A3" t="s">
        <v>34</v>
      </c>
      <c r="B3" t="s">
        <v>56</v>
      </c>
      <c r="C3" t="s">
        <v>115</v>
      </c>
      <c r="D3" s="2" t="s">
        <v>17</v>
      </c>
      <c r="E3" s="2" t="s">
        <v>14</v>
      </c>
      <c r="F3" s="2" t="s">
        <v>15</v>
      </c>
      <c r="G3" s="2" t="s">
        <v>12</v>
      </c>
    </row>
    <row r="4" spans="1:7">
      <c r="A4" t="s">
        <v>34</v>
      </c>
      <c r="B4" t="s">
        <v>56</v>
      </c>
      <c r="C4" t="s">
        <v>114</v>
      </c>
      <c r="D4" s="2" t="s">
        <v>17</v>
      </c>
      <c r="E4" s="2" t="s">
        <v>14</v>
      </c>
      <c r="F4" s="2" t="s">
        <v>15</v>
      </c>
      <c r="G4" s="2" t="s">
        <v>12</v>
      </c>
    </row>
    <row r="5" spans="1:7">
      <c r="A5" t="s">
        <v>34</v>
      </c>
      <c r="B5" t="s">
        <v>56</v>
      </c>
      <c r="C5" t="s">
        <v>119</v>
      </c>
      <c r="D5" s="2" t="s">
        <v>17</v>
      </c>
      <c r="E5" s="2" t="s">
        <v>14</v>
      </c>
      <c r="F5" s="2">
        <v>2015</v>
      </c>
      <c r="G5" s="2" t="s">
        <v>25</v>
      </c>
    </row>
    <row r="6" spans="1:7">
      <c r="A6" t="s">
        <v>34</v>
      </c>
      <c r="B6" t="s">
        <v>56</v>
      </c>
      <c r="C6" t="s">
        <v>110</v>
      </c>
      <c r="D6" s="2" t="s">
        <v>17</v>
      </c>
      <c r="E6" s="2" t="s">
        <v>14</v>
      </c>
      <c r="F6" s="2" t="s">
        <v>15</v>
      </c>
      <c r="G6" s="2" t="s">
        <v>12</v>
      </c>
    </row>
    <row r="7" spans="1:7">
      <c r="A7" t="s">
        <v>34</v>
      </c>
      <c r="B7" t="s">
        <v>56</v>
      </c>
      <c r="C7" t="s">
        <v>108</v>
      </c>
      <c r="D7" s="2" t="s">
        <v>17</v>
      </c>
      <c r="E7" s="2" t="s">
        <v>14</v>
      </c>
      <c r="F7" s="2" t="s">
        <v>15</v>
      </c>
      <c r="G7" s="2" t="s">
        <v>12</v>
      </c>
    </row>
    <row r="8" spans="1:7">
      <c r="A8" t="s">
        <v>37</v>
      </c>
      <c r="B8" t="s">
        <v>80</v>
      </c>
      <c r="C8" t="s">
        <v>108</v>
      </c>
      <c r="D8" s="2" t="s">
        <v>17</v>
      </c>
      <c r="E8" s="2" t="s">
        <v>14</v>
      </c>
      <c r="F8" s="2" t="s">
        <v>15</v>
      </c>
      <c r="G8" s="2" t="s">
        <v>12</v>
      </c>
    </row>
    <row r="9" spans="1:7">
      <c r="A9" t="s">
        <v>37</v>
      </c>
      <c r="B9" t="s">
        <v>80</v>
      </c>
      <c r="C9" t="s">
        <v>109</v>
      </c>
      <c r="D9" s="2" t="s">
        <v>17</v>
      </c>
      <c r="E9" s="2" t="s">
        <v>14</v>
      </c>
      <c r="F9" s="2" t="s">
        <v>15</v>
      </c>
      <c r="G9" s="2" t="s">
        <v>25</v>
      </c>
    </row>
    <row r="10" spans="1:7">
      <c r="A10" t="s">
        <v>37</v>
      </c>
      <c r="B10" t="s">
        <v>89</v>
      </c>
      <c r="C10" t="s">
        <v>108</v>
      </c>
      <c r="D10" s="2" t="s">
        <v>17</v>
      </c>
      <c r="E10" s="2" t="s">
        <v>14</v>
      </c>
      <c r="F10" s="2" t="s">
        <v>15</v>
      </c>
      <c r="G10" s="2" t="s">
        <v>12</v>
      </c>
    </row>
    <row r="11" spans="1:7">
      <c r="A11" t="s">
        <v>37</v>
      </c>
      <c r="B11" t="s">
        <v>89</v>
      </c>
      <c r="C11" t="s">
        <v>109</v>
      </c>
      <c r="D11" s="2" t="s">
        <v>17</v>
      </c>
      <c r="E11" s="2" t="s">
        <v>14</v>
      </c>
      <c r="F11" s="2" t="s">
        <v>15</v>
      </c>
      <c r="G11" s="2" t="s">
        <v>25</v>
      </c>
    </row>
    <row r="12" spans="1:7">
      <c r="A12" t="s">
        <v>37</v>
      </c>
      <c r="B12" t="s">
        <v>93</v>
      </c>
      <c r="C12" t="s">
        <v>108</v>
      </c>
      <c r="D12" s="2" t="s">
        <v>17</v>
      </c>
      <c r="E12" s="2" t="s">
        <v>14</v>
      </c>
      <c r="F12" s="2" t="s">
        <v>15</v>
      </c>
      <c r="G12" s="2" t="s">
        <v>12</v>
      </c>
    </row>
    <row r="13" spans="1:7">
      <c r="A13" t="s">
        <v>37</v>
      </c>
      <c r="B13" t="s">
        <v>93</v>
      </c>
      <c r="C13" t="s">
        <v>109</v>
      </c>
      <c r="D13" s="2" t="s">
        <v>17</v>
      </c>
      <c r="E13" s="2" t="s">
        <v>14</v>
      </c>
      <c r="F13" s="2" t="s">
        <v>15</v>
      </c>
      <c r="G13" s="2" t="s">
        <v>25</v>
      </c>
    </row>
    <row r="14" spans="1:7">
      <c r="A14" t="s">
        <v>37</v>
      </c>
      <c r="B14" t="s">
        <v>83</v>
      </c>
      <c r="C14" t="s">
        <v>108</v>
      </c>
      <c r="D14" s="2" t="s">
        <v>17</v>
      </c>
      <c r="E14" s="2" t="s">
        <v>14</v>
      </c>
      <c r="F14" s="2" t="s">
        <v>15</v>
      </c>
      <c r="G14" s="2" t="s">
        <v>12</v>
      </c>
    </row>
    <row r="15" spans="1:7">
      <c r="A15" t="s">
        <v>37</v>
      </c>
      <c r="B15" t="s">
        <v>83</v>
      </c>
      <c r="C15" t="s">
        <v>109</v>
      </c>
      <c r="D15" s="2" t="s">
        <v>17</v>
      </c>
      <c r="E15" s="2" t="s">
        <v>14</v>
      </c>
      <c r="F15" s="2" t="s">
        <v>15</v>
      </c>
      <c r="G15" s="2" t="s">
        <v>25</v>
      </c>
    </row>
    <row r="16" spans="1:7">
      <c r="A16" t="s">
        <v>37</v>
      </c>
      <c r="B16" t="s">
        <v>74</v>
      </c>
      <c r="C16" t="s">
        <v>108</v>
      </c>
      <c r="D16" s="2" t="s">
        <v>17</v>
      </c>
      <c r="E16" s="2" t="s">
        <v>14</v>
      </c>
      <c r="F16" s="2" t="s">
        <v>15</v>
      </c>
      <c r="G16" s="2" t="s">
        <v>12</v>
      </c>
    </row>
    <row r="17" spans="1:7">
      <c r="A17" t="s">
        <v>37</v>
      </c>
      <c r="B17" t="s">
        <v>74</v>
      </c>
      <c r="C17" t="s">
        <v>109</v>
      </c>
      <c r="D17" s="2" t="s">
        <v>17</v>
      </c>
      <c r="E17" s="2" t="s">
        <v>14</v>
      </c>
      <c r="F17" s="2" t="s">
        <v>15</v>
      </c>
      <c r="G17" s="2" t="s">
        <v>25</v>
      </c>
    </row>
    <row r="18" spans="1:7">
      <c r="A18" t="s">
        <v>37</v>
      </c>
      <c r="B18" t="s">
        <v>87</v>
      </c>
      <c r="C18" t="s">
        <v>108</v>
      </c>
      <c r="D18" s="2" t="s">
        <v>17</v>
      </c>
      <c r="E18" s="2" t="s">
        <v>14</v>
      </c>
      <c r="F18" s="2" t="s">
        <v>15</v>
      </c>
      <c r="G18" s="2" t="s">
        <v>12</v>
      </c>
    </row>
    <row r="19" spans="1:7">
      <c r="A19" t="s">
        <v>37</v>
      </c>
      <c r="B19" t="s">
        <v>87</v>
      </c>
      <c r="C19" t="s">
        <v>109</v>
      </c>
      <c r="D19" s="2" t="s">
        <v>17</v>
      </c>
      <c r="E19" s="2" t="s">
        <v>14</v>
      </c>
      <c r="F19" s="2" t="s">
        <v>15</v>
      </c>
      <c r="G19" s="2" t="s">
        <v>25</v>
      </c>
    </row>
    <row r="20" spans="1:7">
      <c r="A20" t="s">
        <v>37</v>
      </c>
      <c r="B20" t="s">
        <v>68</v>
      </c>
      <c r="C20" t="s">
        <v>108</v>
      </c>
      <c r="D20" s="2" t="s">
        <v>17</v>
      </c>
      <c r="E20" s="2" t="s">
        <v>14</v>
      </c>
      <c r="F20" s="2" t="s">
        <v>15</v>
      </c>
      <c r="G20" s="2" t="s">
        <v>12</v>
      </c>
    </row>
    <row r="21" spans="1:7">
      <c r="A21" t="s">
        <v>37</v>
      </c>
      <c r="B21" t="s">
        <v>68</v>
      </c>
      <c r="C21" t="s">
        <v>109</v>
      </c>
      <c r="D21" s="2" t="s">
        <v>17</v>
      </c>
      <c r="E21" s="2" t="s">
        <v>14</v>
      </c>
      <c r="F21" s="2" t="s">
        <v>15</v>
      </c>
      <c r="G21" s="2" t="s">
        <v>25</v>
      </c>
    </row>
    <row r="22" spans="1:7">
      <c r="A22" t="s">
        <v>37</v>
      </c>
      <c r="B22" t="s">
        <v>90</v>
      </c>
      <c r="C22" t="s">
        <v>108</v>
      </c>
      <c r="D22" s="2" t="s">
        <v>17</v>
      </c>
      <c r="E22" s="2" t="s">
        <v>14</v>
      </c>
      <c r="F22" s="2" t="s">
        <v>15</v>
      </c>
      <c r="G22" s="2" t="s">
        <v>12</v>
      </c>
    </row>
    <row r="23" spans="1:7">
      <c r="A23" t="s">
        <v>37</v>
      </c>
      <c r="B23" t="s">
        <v>90</v>
      </c>
      <c r="C23" t="s">
        <v>109</v>
      </c>
      <c r="D23" s="2" t="s">
        <v>17</v>
      </c>
      <c r="E23" s="2" t="s">
        <v>14</v>
      </c>
      <c r="F23" s="2" t="s">
        <v>15</v>
      </c>
      <c r="G23" s="2" t="s">
        <v>25</v>
      </c>
    </row>
    <row r="24" spans="1:7">
      <c r="A24" t="s">
        <v>37</v>
      </c>
      <c r="B24" t="s">
        <v>60</v>
      </c>
      <c r="C24" t="s">
        <v>108</v>
      </c>
      <c r="D24" s="2" t="s">
        <v>17</v>
      </c>
      <c r="E24" s="2" t="s">
        <v>14</v>
      </c>
      <c r="F24" s="2" t="s">
        <v>15</v>
      </c>
      <c r="G24" s="2" t="s">
        <v>12</v>
      </c>
    </row>
    <row r="25" spans="1:7">
      <c r="A25" t="s">
        <v>37</v>
      </c>
      <c r="B25" t="s">
        <v>60</v>
      </c>
      <c r="C25" t="s">
        <v>109</v>
      </c>
      <c r="D25" s="2" t="s">
        <v>17</v>
      </c>
      <c r="E25" s="2" t="s">
        <v>14</v>
      </c>
      <c r="F25" s="2" t="s">
        <v>15</v>
      </c>
      <c r="G25" s="2" t="s">
        <v>25</v>
      </c>
    </row>
    <row r="26" spans="1:7">
      <c r="A26" t="s">
        <v>37</v>
      </c>
      <c r="B26" t="s">
        <v>84</v>
      </c>
      <c r="C26" t="s">
        <v>108</v>
      </c>
      <c r="D26" s="2" t="s">
        <v>17</v>
      </c>
      <c r="E26" s="2" t="s">
        <v>14</v>
      </c>
      <c r="F26" s="2" t="s">
        <v>15</v>
      </c>
      <c r="G26" s="2" t="s">
        <v>12</v>
      </c>
    </row>
    <row r="27" spans="1:7">
      <c r="A27" t="s">
        <v>37</v>
      </c>
      <c r="B27" t="s">
        <v>84</v>
      </c>
      <c r="C27" t="s">
        <v>109</v>
      </c>
      <c r="D27" s="2" t="s">
        <v>17</v>
      </c>
      <c r="E27" s="2" t="s">
        <v>14</v>
      </c>
      <c r="F27" s="2" t="s">
        <v>15</v>
      </c>
      <c r="G27" s="2" t="s">
        <v>25</v>
      </c>
    </row>
    <row r="28" spans="1:7">
      <c r="A28" t="s">
        <v>37</v>
      </c>
      <c r="B28" t="s">
        <v>76</v>
      </c>
      <c r="C28" t="s">
        <v>108</v>
      </c>
      <c r="D28" s="2" t="s">
        <v>17</v>
      </c>
      <c r="E28" s="2" t="s">
        <v>14</v>
      </c>
      <c r="F28" s="2" t="s">
        <v>15</v>
      </c>
      <c r="G28" s="2" t="s">
        <v>12</v>
      </c>
    </row>
    <row r="29" spans="1:7">
      <c r="A29" t="s">
        <v>37</v>
      </c>
      <c r="B29" t="s">
        <v>76</v>
      </c>
      <c r="C29" t="s">
        <v>109</v>
      </c>
      <c r="D29" s="2" t="s">
        <v>17</v>
      </c>
      <c r="E29" s="2" t="s">
        <v>14</v>
      </c>
      <c r="F29" s="2" t="s">
        <v>15</v>
      </c>
      <c r="G29" s="2" t="s">
        <v>25</v>
      </c>
    </row>
    <row r="30" spans="1:7">
      <c r="A30" t="s">
        <v>37</v>
      </c>
      <c r="B30" t="s">
        <v>81</v>
      </c>
      <c r="C30" t="s">
        <v>108</v>
      </c>
      <c r="D30" s="2" t="s">
        <v>17</v>
      </c>
      <c r="E30" s="2" t="s">
        <v>14</v>
      </c>
      <c r="F30" s="2" t="s">
        <v>15</v>
      </c>
      <c r="G30" s="2" t="s">
        <v>12</v>
      </c>
    </row>
    <row r="31" spans="1:7">
      <c r="A31" t="s">
        <v>37</v>
      </c>
      <c r="B31" t="s">
        <v>81</v>
      </c>
      <c r="C31" t="s">
        <v>109</v>
      </c>
      <c r="D31" s="2" t="s">
        <v>17</v>
      </c>
      <c r="E31" s="2" t="s">
        <v>14</v>
      </c>
      <c r="F31" s="2" t="s">
        <v>15</v>
      </c>
      <c r="G31" s="2" t="s">
        <v>25</v>
      </c>
    </row>
    <row r="32" spans="1:7">
      <c r="A32" t="s">
        <v>37</v>
      </c>
      <c r="B32" t="s">
        <v>69</v>
      </c>
      <c r="C32" t="s">
        <v>108</v>
      </c>
      <c r="D32" s="2" t="s">
        <v>17</v>
      </c>
      <c r="E32" s="2" t="s">
        <v>14</v>
      </c>
      <c r="F32" s="2" t="s">
        <v>15</v>
      </c>
      <c r="G32" s="2" t="s">
        <v>12</v>
      </c>
    </row>
    <row r="33" spans="1:7">
      <c r="A33" t="s">
        <v>37</v>
      </c>
      <c r="B33" t="s">
        <v>69</v>
      </c>
      <c r="C33" t="s">
        <v>109</v>
      </c>
      <c r="D33" s="2" t="s">
        <v>17</v>
      </c>
      <c r="E33" s="2" t="s">
        <v>14</v>
      </c>
      <c r="F33" s="2" t="s">
        <v>15</v>
      </c>
      <c r="G33" s="2" t="s">
        <v>25</v>
      </c>
    </row>
    <row r="34" spans="1:7">
      <c r="A34" t="s">
        <v>37</v>
      </c>
      <c r="B34" t="s">
        <v>86</v>
      </c>
      <c r="C34" t="s">
        <v>108</v>
      </c>
      <c r="D34" s="2" t="s">
        <v>17</v>
      </c>
      <c r="E34" s="2" t="s">
        <v>14</v>
      </c>
      <c r="F34" s="2" t="s">
        <v>15</v>
      </c>
      <c r="G34" s="2" t="s">
        <v>12</v>
      </c>
    </row>
    <row r="35" spans="1:7">
      <c r="A35" t="s">
        <v>37</v>
      </c>
      <c r="B35" t="s">
        <v>86</v>
      </c>
      <c r="C35" t="s">
        <v>109</v>
      </c>
      <c r="D35" s="2" t="s">
        <v>17</v>
      </c>
      <c r="E35" s="2" t="s">
        <v>14</v>
      </c>
      <c r="F35" s="2" t="s">
        <v>15</v>
      </c>
      <c r="G35" s="2" t="s">
        <v>25</v>
      </c>
    </row>
    <row r="36" spans="1:7">
      <c r="A36" t="s">
        <v>37</v>
      </c>
      <c r="B36" t="s">
        <v>61</v>
      </c>
      <c r="C36" t="s">
        <v>108</v>
      </c>
      <c r="D36" s="2" t="s">
        <v>17</v>
      </c>
      <c r="E36" s="2" t="s">
        <v>14</v>
      </c>
      <c r="F36" s="2" t="s">
        <v>15</v>
      </c>
      <c r="G36" s="2" t="s">
        <v>12</v>
      </c>
    </row>
    <row r="37" spans="1:7">
      <c r="A37" t="s">
        <v>37</v>
      </c>
      <c r="B37" t="s">
        <v>61</v>
      </c>
      <c r="C37" t="s">
        <v>109</v>
      </c>
      <c r="D37" s="2" t="s">
        <v>17</v>
      </c>
      <c r="E37" s="2" t="s">
        <v>14</v>
      </c>
      <c r="F37" s="2" t="s">
        <v>15</v>
      </c>
      <c r="G37" s="2" t="s">
        <v>25</v>
      </c>
    </row>
    <row r="38" spans="1:7">
      <c r="A38" t="s">
        <v>37</v>
      </c>
      <c r="B38" t="s">
        <v>91</v>
      </c>
      <c r="C38" t="s">
        <v>108</v>
      </c>
      <c r="D38" s="2" t="s">
        <v>17</v>
      </c>
      <c r="E38" s="2" t="s">
        <v>14</v>
      </c>
      <c r="F38" s="2" t="s">
        <v>15</v>
      </c>
      <c r="G38" s="2" t="s">
        <v>12</v>
      </c>
    </row>
    <row r="39" spans="1:7">
      <c r="A39" t="s">
        <v>37</v>
      </c>
      <c r="B39" t="s">
        <v>91</v>
      </c>
      <c r="C39" t="s">
        <v>109</v>
      </c>
      <c r="D39" s="2" t="s">
        <v>17</v>
      </c>
      <c r="E39" s="2" t="s">
        <v>14</v>
      </c>
      <c r="F39" s="2" t="s">
        <v>15</v>
      </c>
      <c r="G39" s="2" t="s">
        <v>25</v>
      </c>
    </row>
    <row r="40" spans="1:7">
      <c r="A40" t="s">
        <v>37</v>
      </c>
      <c r="B40" t="s">
        <v>85</v>
      </c>
      <c r="C40" t="s">
        <v>108</v>
      </c>
      <c r="D40" s="2" t="s">
        <v>17</v>
      </c>
      <c r="E40" s="2" t="s">
        <v>14</v>
      </c>
      <c r="F40" s="2" t="s">
        <v>15</v>
      </c>
      <c r="G40" s="2" t="s">
        <v>12</v>
      </c>
    </row>
    <row r="41" spans="1:7">
      <c r="A41" t="s">
        <v>37</v>
      </c>
      <c r="B41" t="s">
        <v>85</v>
      </c>
      <c r="C41" t="s">
        <v>109</v>
      </c>
      <c r="D41" s="2" t="s">
        <v>17</v>
      </c>
      <c r="E41" s="2" t="s">
        <v>14</v>
      </c>
      <c r="F41" s="2" t="s">
        <v>15</v>
      </c>
      <c r="G41" s="2" t="s">
        <v>25</v>
      </c>
    </row>
    <row r="42" spans="1:7">
      <c r="A42" t="s">
        <v>37</v>
      </c>
      <c r="B42" t="s">
        <v>92</v>
      </c>
      <c r="C42" t="s">
        <v>108</v>
      </c>
      <c r="D42" s="2" t="s">
        <v>17</v>
      </c>
      <c r="E42" s="2" t="s">
        <v>14</v>
      </c>
      <c r="F42" s="2" t="s">
        <v>15</v>
      </c>
      <c r="G42" s="2" t="s">
        <v>12</v>
      </c>
    </row>
    <row r="43" spans="1:7">
      <c r="A43" t="s">
        <v>37</v>
      </c>
      <c r="B43" t="s">
        <v>92</v>
      </c>
      <c r="C43" t="s">
        <v>109</v>
      </c>
      <c r="D43" s="2" t="s">
        <v>17</v>
      </c>
      <c r="E43" s="2" t="s">
        <v>14</v>
      </c>
      <c r="F43" s="2" t="s">
        <v>15</v>
      </c>
      <c r="G43" s="2" t="s">
        <v>25</v>
      </c>
    </row>
    <row r="44" spans="1:7">
      <c r="A44" t="s">
        <v>37</v>
      </c>
      <c r="B44" t="s">
        <v>77</v>
      </c>
      <c r="C44" t="s">
        <v>108</v>
      </c>
      <c r="D44" s="2" t="s">
        <v>17</v>
      </c>
      <c r="E44" s="2" t="s">
        <v>14</v>
      </c>
      <c r="F44" s="2" t="s">
        <v>15</v>
      </c>
      <c r="G44" s="2" t="s">
        <v>12</v>
      </c>
    </row>
    <row r="45" spans="1:7">
      <c r="A45" t="s">
        <v>37</v>
      </c>
      <c r="B45" t="s">
        <v>77</v>
      </c>
      <c r="C45" t="s">
        <v>109</v>
      </c>
      <c r="D45" s="2" t="s">
        <v>17</v>
      </c>
      <c r="E45" s="2" t="s">
        <v>14</v>
      </c>
      <c r="F45" s="2" t="s">
        <v>15</v>
      </c>
      <c r="G45" s="2" t="s">
        <v>25</v>
      </c>
    </row>
    <row r="46" spans="1:7">
      <c r="A46" t="s">
        <v>37</v>
      </c>
      <c r="B46" t="s">
        <v>62</v>
      </c>
      <c r="C46" t="s">
        <v>108</v>
      </c>
      <c r="D46" s="2" t="s">
        <v>17</v>
      </c>
      <c r="E46" s="2" t="s">
        <v>14</v>
      </c>
      <c r="F46" s="2" t="s">
        <v>15</v>
      </c>
      <c r="G46" s="2" t="s">
        <v>12</v>
      </c>
    </row>
    <row r="47" spans="1:7">
      <c r="A47" t="s">
        <v>37</v>
      </c>
      <c r="B47" t="s">
        <v>62</v>
      </c>
      <c r="C47" t="s">
        <v>109</v>
      </c>
      <c r="D47" s="2" t="s">
        <v>17</v>
      </c>
      <c r="E47" s="2" t="s">
        <v>14</v>
      </c>
      <c r="F47" s="2" t="s">
        <v>15</v>
      </c>
      <c r="G47" s="2" t="s">
        <v>25</v>
      </c>
    </row>
    <row r="48" spans="1:7">
      <c r="A48" t="s">
        <v>37</v>
      </c>
      <c r="B48" t="s">
        <v>82</v>
      </c>
      <c r="C48" t="s">
        <v>108</v>
      </c>
      <c r="D48" s="2" t="s">
        <v>17</v>
      </c>
      <c r="E48" s="2" t="s">
        <v>14</v>
      </c>
      <c r="F48" s="2" t="s">
        <v>15</v>
      </c>
      <c r="G48" s="2" t="s">
        <v>12</v>
      </c>
    </row>
    <row r="49" spans="1:7">
      <c r="A49" t="s">
        <v>37</v>
      </c>
      <c r="B49" t="s">
        <v>82</v>
      </c>
      <c r="C49" t="s">
        <v>109</v>
      </c>
      <c r="D49" s="2" t="s">
        <v>17</v>
      </c>
      <c r="E49" s="2" t="s">
        <v>14</v>
      </c>
      <c r="F49" s="2" t="s">
        <v>15</v>
      </c>
      <c r="G49" s="2" t="s">
        <v>25</v>
      </c>
    </row>
    <row r="50" spans="1:7">
      <c r="A50" t="s">
        <v>37</v>
      </c>
      <c r="B50" t="s">
        <v>73</v>
      </c>
      <c r="C50" t="s">
        <v>108</v>
      </c>
      <c r="D50" s="2" t="s">
        <v>17</v>
      </c>
      <c r="E50" s="2" t="s">
        <v>14</v>
      </c>
      <c r="F50" s="2" t="s">
        <v>15</v>
      </c>
      <c r="G50" s="2" t="s">
        <v>12</v>
      </c>
    </row>
    <row r="51" spans="1:7">
      <c r="A51" t="s">
        <v>37</v>
      </c>
      <c r="B51" t="s">
        <v>73</v>
      </c>
      <c r="C51" t="s">
        <v>109</v>
      </c>
      <c r="D51" s="2" t="s">
        <v>17</v>
      </c>
      <c r="E51" s="2" t="s">
        <v>14</v>
      </c>
      <c r="F51" s="2" t="s">
        <v>15</v>
      </c>
      <c r="G51" s="2" t="s">
        <v>25</v>
      </c>
    </row>
    <row r="52" spans="1:7">
      <c r="A52" t="s">
        <v>37</v>
      </c>
      <c r="B52" t="s">
        <v>70</v>
      </c>
      <c r="C52" t="s">
        <v>108</v>
      </c>
      <c r="D52" s="2" t="s">
        <v>17</v>
      </c>
      <c r="E52" s="2" t="s">
        <v>14</v>
      </c>
      <c r="F52" s="2" t="s">
        <v>15</v>
      </c>
      <c r="G52" s="2" t="s">
        <v>12</v>
      </c>
    </row>
    <row r="53" spans="1:7">
      <c r="A53" t="s">
        <v>37</v>
      </c>
      <c r="B53" t="s">
        <v>70</v>
      </c>
      <c r="C53" t="s">
        <v>109</v>
      </c>
      <c r="D53" s="2" t="s">
        <v>17</v>
      </c>
      <c r="E53" s="2" t="s">
        <v>14</v>
      </c>
      <c r="F53" s="2" t="s">
        <v>15</v>
      </c>
      <c r="G53" s="2" t="s">
        <v>25</v>
      </c>
    </row>
    <row r="54" spans="1:7">
      <c r="A54" t="s">
        <v>37</v>
      </c>
      <c r="B54" t="s">
        <v>63</v>
      </c>
      <c r="C54" t="s">
        <v>108</v>
      </c>
      <c r="D54" s="2" t="s">
        <v>17</v>
      </c>
      <c r="E54" s="2" t="s">
        <v>14</v>
      </c>
      <c r="F54" s="2" t="s">
        <v>15</v>
      </c>
      <c r="G54" s="2" t="s">
        <v>12</v>
      </c>
    </row>
    <row r="55" spans="1:7">
      <c r="A55" t="s">
        <v>37</v>
      </c>
      <c r="B55" t="s">
        <v>63</v>
      </c>
      <c r="C55" t="s">
        <v>109</v>
      </c>
      <c r="D55" s="2" t="s">
        <v>17</v>
      </c>
      <c r="E55" s="2" t="s">
        <v>14</v>
      </c>
      <c r="F55" s="2" t="s">
        <v>15</v>
      </c>
      <c r="G55" s="2" t="s">
        <v>25</v>
      </c>
    </row>
    <row r="56" spans="1:7">
      <c r="A56" t="s">
        <v>105</v>
      </c>
      <c r="B56" t="s">
        <v>57</v>
      </c>
      <c r="C56" t="s">
        <v>110</v>
      </c>
      <c r="D56" s="2" t="s">
        <v>17</v>
      </c>
      <c r="E56" s="2" t="s">
        <v>14</v>
      </c>
      <c r="F56" s="2" t="s">
        <v>15</v>
      </c>
      <c r="G56" s="2" t="s">
        <v>12</v>
      </c>
    </row>
    <row r="57" spans="1:7">
      <c r="A57" t="s">
        <v>105</v>
      </c>
      <c r="B57" t="s">
        <v>57</v>
      </c>
      <c r="C57" t="s">
        <v>108</v>
      </c>
      <c r="D57" s="2" t="s">
        <v>17</v>
      </c>
      <c r="E57" s="2" t="s">
        <v>14</v>
      </c>
      <c r="F57" s="2" t="s">
        <v>15</v>
      </c>
      <c r="G57" s="2" t="s">
        <v>12</v>
      </c>
    </row>
    <row r="58" spans="1:7">
      <c r="A58" t="s">
        <v>105</v>
      </c>
      <c r="B58" t="s">
        <v>57</v>
      </c>
      <c r="C58" t="s">
        <v>117</v>
      </c>
      <c r="D58" s="2" t="s">
        <v>17</v>
      </c>
      <c r="E58" s="2" t="s">
        <v>14</v>
      </c>
      <c r="F58" s="2" t="s">
        <v>15</v>
      </c>
      <c r="G58" s="2" t="s">
        <v>12</v>
      </c>
    </row>
    <row r="59" spans="1:7">
      <c r="A59" t="s">
        <v>105</v>
      </c>
      <c r="B59" t="s">
        <v>57</v>
      </c>
      <c r="C59" t="s">
        <v>116</v>
      </c>
      <c r="D59" s="2" t="s">
        <v>17</v>
      </c>
      <c r="E59" s="2" t="s">
        <v>14</v>
      </c>
      <c r="F59" s="2" t="s">
        <v>15</v>
      </c>
      <c r="G59" s="2" t="s">
        <v>12</v>
      </c>
    </row>
    <row r="60" spans="1:7">
      <c r="A60" t="s">
        <v>32</v>
      </c>
      <c r="B60" t="s">
        <v>48</v>
      </c>
      <c r="C60" t="s">
        <v>108</v>
      </c>
      <c r="D60" s="2" t="s">
        <v>17</v>
      </c>
      <c r="E60" s="2" t="s">
        <v>14</v>
      </c>
      <c r="F60" s="2" t="s">
        <v>15</v>
      </c>
      <c r="G60" s="2" t="s">
        <v>12</v>
      </c>
    </row>
    <row r="61" spans="1:7">
      <c r="A61" t="s">
        <v>32</v>
      </c>
      <c r="B61" t="s">
        <v>48</v>
      </c>
      <c r="C61" t="s">
        <v>109</v>
      </c>
      <c r="D61" s="2" t="s">
        <v>17</v>
      </c>
      <c r="E61" s="2" t="s">
        <v>14</v>
      </c>
      <c r="F61" s="2" t="s">
        <v>15</v>
      </c>
      <c r="G61" s="2" t="s">
        <v>25</v>
      </c>
    </row>
    <row r="62" spans="1:7">
      <c r="A62" t="s">
        <v>40</v>
      </c>
      <c r="B62" t="s">
        <v>79</v>
      </c>
      <c r="C62" t="s">
        <v>108</v>
      </c>
      <c r="D62" s="2" t="s">
        <v>17</v>
      </c>
      <c r="E62" s="2" t="s">
        <v>14</v>
      </c>
      <c r="F62" s="2" t="s">
        <v>15</v>
      </c>
      <c r="G62" s="2" t="s">
        <v>12</v>
      </c>
    </row>
    <row r="63" spans="1:7">
      <c r="A63" t="s">
        <v>40</v>
      </c>
      <c r="B63" t="s">
        <v>79</v>
      </c>
      <c r="C63" t="s">
        <v>109</v>
      </c>
      <c r="D63" s="2" t="s">
        <v>17</v>
      </c>
      <c r="E63" s="2" t="s">
        <v>14</v>
      </c>
      <c r="F63" s="2" t="s">
        <v>15</v>
      </c>
      <c r="G63" s="2" t="s">
        <v>25</v>
      </c>
    </row>
    <row r="64" spans="1:7">
      <c r="A64" t="s">
        <v>40</v>
      </c>
      <c r="B64" t="s">
        <v>78</v>
      </c>
      <c r="C64" t="s">
        <v>108</v>
      </c>
      <c r="D64" s="2" t="s">
        <v>17</v>
      </c>
      <c r="E64" s="2" t="s">
        <v>14</v>
      </c>
      <c r="F64" s="2" t="s">
        <v>15</v>
      </c>
      <c r="G64" s="2" t="s">
        <v>12</v>
      </c>
    </row>
    <row r="65" spans="1:7">
      <c r="A65" t="s">
        <v>40</v>
      </c>
      <c r="B65" t="s">
        <v>78</v>
      </c>
      <c r="C65" t="s">
        <v>109</v>
      </c>
      <c r="D65" s="2" t="s">
        <v>17</v>
      </c>
      <c r="E65" s="2" t="s">
        <v>14</v>
      </c>
      <c r="F65" s="2" t="s">
        <v>15</v>
      </c>
      <c r="G65" s="2" t="s">
        <v>25</v>
      </c>
    </row>
    <row r="66" spans="1:7">
      <c r="A66" t="s">
        <v>33</v>
      </c>
      <c r="B66" t="s">
        <v>51</v>
      </c>
      <c r="C66" t="s">
        <v>108</v>
      </c>
      <c r="D66" s="2" t="s">
        <v>17</v>
      </c>
      <c r="E66" s="2" t="s">
        <v>14</v>
      </c>
      <c r="F66" s="2" t="s">
        <v>15</v>
      </c>
      <c r="G66" s="2" t="s">
        <v>12</v>
      </c>
    </row>
    <row r="67" spans="1:7">
      <c r="A67" t="s">
        <v>33</v>
      </c>
      <c r="B67" t="s">
        <v>51</v>
      </c>
      <c r="C67" t="s">
        <v>109</v>
      </c>
      <c r="D67" s="2" t="s">
        <v>17</v>
      </c>
      <c r="E67" s="2" t="s">
        <v>14</v>
      </c>
      <c r="F67" s="2" t="s">
        <v>15</v>
      </c>
      <c r="G67" s="2" t="s">
        <v>25</v>
      </c>
    </row>
    <row r="68" spans="1:7">
      <c r="A68" t="s">
        <v>36</v>
      </c>
      <c r="B68" t="s">
        <v>71</v>
      </c>
      <c r="C68" t="s">
        <v>111</v>
      </c>
      <c r="D68" s="2" t="s">
        <v>17</v>
      </c>
      <c r="E68" s="2" t="s">
        <v>14</v>
      </c>
      <c r="F68" s="2" t="s">
        <v>15</v>
      </c>
      <c r="G68" s="2" t="s">
        <v>25</v>
      </c>
    </row>
    <row r="69" spans="1:7">
      <c r="A69" t="s">
        <v>36</v>
      </c>
      <c r="B69" t="s">
        <v>71</v>
      </c>
      <c r="C69" t="s">
        <v>108</v>
      </c>
      <c r="D69" s="2" t="s">
        <v>17</v>
      </c>
      <c r="E69" s="2" t="s">
        <v>14</v>
      </c>
      <c r="F69" s="2" t="s">
        <v>15</v>
      </c>
      <c r="G69" s="2" t="s">
        <v>12</v>
      </c>
    </row>
    <row r="70" spans="1:7">
      <c r="A70" t="s">
        <v>36</v>
      </c>
      <c r="B70" t="s">
        <v>64</v>
      </c>
      <c r="C70" t="s">
        <v>111</v>
      </c>
      <c r="D70" s="2" t="s">
        <v>17</v>
      </c>
      <c r="E70" s="2" t="s">
        <v>14</v>
      </c>
      <c r="F70" s="2" t="s">
        <v>15</v>
      </c>
      <c r="G70" s="2" t="s">
        <v>25</v>
      </c>
    </row>
    <row r="71" spans="1:7">
      <c r="A71" t="s">
        <v>36</v>
      </c>
      <c r="B71" t="s">
        <v>64</v>
      </c>
      <c r="C71" t="s">
        <v>108</v>
      </c>
      <c r="D71" s="2" t="s">
        <v>17</v>
      </c>
      <c r="E71" s="2" t="s">
        <v>14</v>
      </c>
      <c r="F71" s="2" t="s">
        <v>15</v>
      </c>
      <c r="G71" s="2" t="s">
        <v>12</v>
      </c>
    </row>
    <row r="72" spans="1:7">
      <c r="A72" t="s">
        <v>36</v>
      </c>
      <c r="B72" t="s">
        <v>50</v>
      </c>
      <c r="C72" t="s">
        <v>111</v>
      </c>
      <c r="D72" s="2" t="s">
        <v>17</v>
      </c>
      <c r="E72" s="2" t="s">
        <v>14</v>
      </c>
      <c r="F72" s="2" t="s">
        <v>15</v>
      </c>
      <c r="G72" s="2" t="s">
        <v>25</v>
      </c>
    </row>
    <row r="73" spans="1:7">
      <c r="A73" t="s">
        <v>36</v>
      </c>
      <c r="B73" t="s">
        <v>50</v>
      </c>
      <c r="C73" t="s">
        <v>118</v>
      </c>
      <c r="D73" s="2" t="s">
        <v>17</v>
      </c>
      <c r="E73" s="2" t="s">
        <v>14</v>
      </c>
      <c r="F73" s="2">
        <v>2050</v>
      </c>
      <c r="G73" s="2" t="s">
        <v>25</v>
      </c>
    </row>
    <row r="74" spans="1:7">
      <c r="A74" t="s">
        <v>36</v>
      </c>
      <c r="B74" t="s">
        <v>50</v>
      </c>
      <c r="C74" t="s">
        <v>108</v>
      </c>
      <c r="D74" s="2" t="s">
        <v>17</v>
      </c>
      <c r="E74" s="2" t="s">
        <v>14</v>
      </c>
      <c r="F74" s="2" t="s">
        <v>15</v>
      </c>
      <c r="G74" s="2" t="s">
        <v>12</v>
      </c>
    </row>
    <row r="75" spans="1:7">
      <c r="A75" t="s">
        <v>36</v>
      </c>
      <c r="B75" t="s">
        <v>88</v>
      </c>
      <c r="C75" t="s">
        <v>111</v>
      </c>
      <c r="D75" s="2" t="s">
        <v>17</v>
      </c>
      <c r="E75" s="2" t="s">
        <v>14</v>
      </c>
      <c r="F75" s="2" t="s">
        <v>15</v>
      </c>
      <c r="G75" s="2" t="s">
        <v>25</v>
      </c>
    </row>
    <row r="76" spans="1:7">
      <c r="A76" t="s">
        <v>36</v>
      </c>
      <c r="B76" t="s">
        <v>88</v>
      </c>
      <c r="C76" t="s">
        <v>108</v>
      </c>
      <c r="D76" s="2" t="s">
        <v>17</v>
      </c>
      <c r="E76" s="2" t="s">
        <v>14</v>
      </c>
      <c r="F76" s="2" t="s">
        <v>15</v>
      </c>
      <c r="G76" s="2" t="s">
        <v>12</v>
      </c>
    </row>
    <row r="77" spans="1:7">
      <c r="A77" t="s">
        <v>35</v>
      </c>
      <c r="B77" t="s">
        <v>54</v>
      </c>
      <c r="C77" t="s">
        <v>111</v>
      </c>
      <c r="D77" s="2" t="s">
        <v>17</v>
      </c>
      <c r="E77" s="2" t="s">
        <v>14</v>
      </c>
      <c r="F77" s="2" t="s">
        <v>15</v>
      </c>
      <c r="G77" s="2" t="s">
        <v>25</v>
      </c>
    </row>
    <row r="78" spans="1:7">
      <c r="A78" t="s">
        <v>35</v>
      </c>
      <c r="B78" t="s">
        <v>54</v>
      </c>
      <c r="C78" t="s">
        <v>113</v>
      </c>
      <c r="D78" s="2" t="s">
        <v>17</v>
      </c>
      <c r="E78" s="2">
        <v>2015</v>
      </c>
      <c r="F78" s="2" t="s">
        <v>15</v>
      </c>
      <c r="G78" s="2" t="s">
        <v>25</v>
      </c>
    </row>
    <row r="79" spans="1:7">
      <c r="A79" t="s">
        <v>35</v>
      </c>
      <c r="B79" t="s">
        <v>54</v>
      </c>
      <c r="C79" t="s">
        <v>112</v>
      </c>
      <c r="D79" s="2" t="s">
        <v>17</v>
      </c>
      <c r="E79" s="2" t="s">
        <v>14</v>
      </c>
      <c r="F79">
        <v>2020</v>
      </c>
      <c r="G79" t="s">
        <v>25</v>
      </c>
    </row>
    <row r="80" spans="1:7">
      <c r="A80" t="s">
        <v>35</v>
      </c>
      <c r="B80" t="s">
        <v>54</v>
      </c>
      <c r="C80" t="s">
        <v>108</v>
      </c>
      <c r="D80" s="2" t="s">
        <v>17</v>
      </c>
      <c r="E80" s="2" t="s">
        <v>14</v>
      </c>
      <c r="F80" s="2" t="s">
        <v>15</v>
      </c>
      <c r="G80" s="2" t="s">
        <v>12</v>
      </c>
    </row>
    <row r="81" spans="1:7">
      <c r="A81" t="s">
        <v>35</v>
      </c>
      <c r="B81" t="s">
        <v>54</v>
      </c>
      <c r="C81" t="s">
        <v>109</v>
      </c>
      <c r="D81" s="2" t="s">
        <v>17</v>
      </c>
      <c r="E81" s="2" t="s">
        <v>14</v>
      </c>
      <c r="F81" s="2" t="s">
        <v>15</v>
      </c>
      <c r="G81" s="2" t="s">
        <v>25</v>
      </c>
    </row>
    <row r="82" spans="1:7">
      <c r="A82" t="s">
        <v>35</v>
      </c>
      <c r="B82" t="s">
        <v>66</v>
      </c>
      <c r="C82" t="s">
        <v>111</v>
      </c>
      <c r="D82" s="2" t="s">
        <v>17</v>
      </c>
      <c r="E82" s="2" t="s">
        <v>14</v>
      </c>
      <c r="F82" s="2" t="s">
        <v>15</v>
      </c>
      <c r="G82" s="2" t="s">
        <v>25</v>
      </c>
    </row>
    <row r="83" spans="1:7">
      <c r="A83" t="s">
        <v>35</v>
      </c>
      <c r="B83" t="s">
        <v>66</v>
      </c>
      <c r="C83" t="s">
        <v>113</v>
      </c>
      <c r="D83" s="2" t="s">
        <v>17</v>
      </c>
      <c r="E83" s="2">
        <v>2015</v>
      </c>
      <c r="F83" s="2" t="s">
        <v>15</v>
      </c>
      <c r="G83" s="2" t="s">
        <v>25</v>
      </c>
    </row>
    <row r="84" spans="1:7">
      <c r="A84" t="s">
        <v>35</v>
      </c>
      <c r="B84" t="s">
        <v>66</v>
      </c>
      <c r="C84" t="s">
        <v>112</v>
      </c>
      <c r="D84" s="2" t="s">
        <v>17</v>
      </c>
      <c r="E84" s="2" t="s">
        <v>14</v>
      </c>
      <c r="F84">
        <v>2020</v>
      </c>
      <c r="G84" t="s">
        <v>25</v>
      </c>
    </row>
    <row r="85" spans="1:7">
      <c r="A85" t="s">
        <v>35</v>
      </c>
      <c r="B85" t="s">
        <v>66</v>
      </c>
      <c r="C85" t="s">
        <v>108</v>
      </c>
      <c r="D85" s="2" t="s">
        <v>17</v>
      </c>
      <c r="E85" s="2" t="s">
        <v>14</v>
      </c>
      <c r="F85" s="2" t="s">
        <v>15</v>
      </c>
      <c r="G85" s="2" t="s">
        <v>12</v>
      </c>
    </row>
    <row r="86" spans="1:7">
      <c r="A86" t="s">
        <v>35</v>
      </c>
      <c r="B86" t="s">
        <v>66</v>
      </c>
      <c r="C86" t="s">
        <v>109</v>
      </c>
      <c r="D86" s="2" t="s">
        <v>17</v>
      </c>
      <c r="E86" s="2" t="s">
        <v>14</v>
      </c>
      <c r="F86" s="2" t="s">
        <v>15</v>
      </c>
      <c r="G86" s="2" t="s">
        <v>25</v>
      </c>
    </row>
    <row r="87" spans="1:7">
      <c r="A87" t="s">
        <v>35</v>
      </c>
      <c r="B87" t="s">
        <v>72</v>
      </c>
      <c r="C87" t="s">
        <v>111</v>
      </c>
      <c r="D87" s="2" t="s">
        <v>17</v>
      </c>
      <c r="E87" s="2" t="s">
        <v>14</v>
      </c>
      <c r="F87" s="2" t="s">
        <v>15</v>
      </c>
      <c r="G87" s="2" t="s">
        <v>25</v>
      </c>
    </row>
    <row r="88" spans="1:7">
      <c r="A88" t="s">
        <v>35</v>
      </c>
      <c r="B88" t="s">
        <v>72</v>
      </c>
      <c r="C88" t="s">
        <v>113</v>
      </c>
      <c r="D88" s="2" t="s">
        <v>17</v>
      </c>
      <c r="E88" s="2">
        <v>2015</v>
      </c>
      <c r="F88" s="2" t="s">
        <v>15</v>
      </c>
      <c r="G88" s="2" t="s">
        <v>25</v>
      </c>
    </row>
    <row r="89" spans="1:7">
      <c r="A89" t="s">
        <v>35</v>
      </c>
      <c r="B89" t="s">
        <v>72</v>
      </c>
      <c r="C89" t="s">
        <v>112</v>
      </c>
      <c r="D89" s="2" t="s">
        <v>17</v>
      </c>
      <c r="E89" s="2" t="s">
        <v>14</v>
      </c>
      <c r="F89">
        <v>2020</v>
      </c>
      <c r="G89" t="s">
        <v>25</v>
      </c>
    </row>
    <row r="90" spans="1:7">
      <c r="A90" t="s">
        <v>35</v>
      </c>
      <c r="B90" t="s">
        <v>72</v>
      </c>
      <c r="C90" t="s">
        <v>108</v>
      </c>
      <c r="D90" s="2" t="s">
        <v>17</v>
      </c>
      <c r="E90" s="2" t="s">
        <v>14</v>
      </c>
      <c r="F90" s="2" t="s">
        <v>15</v>
      </c>
      <c r="G90" s="2" t="s">
        <v>12</v>
      </c>
    </row>
    <row r="91" spans="1:7">
      <c r="A91" t="s">
        <v>35</v>
      </c>
      <c r="B91" t="s">
        <v>72</v>
      </c>
      <c r="C91" t="s">
        <v>109</v>
      </c>
      <c r="D91" s="2" t="s">
        <v>17</v>
      </c>
      <c r="E91" s="2" t="s">
        <v>14</v>
      </c>
      <c r="F91" s="2" t="s">
        <v>15</v>
      </c>
      <c r="G91" s="2" t="s">
        <v>25</v>
      </c>
    </row>
    <row r="92" spans="1:7">
      <c r="A92" t="s">
        <v>35</v>
      </c>
      <c r="B92" t="s">
        <v>67</v>
      </c>
      <c r="C92" t="s">
        <v>111</v>
      </c>
      <c r="D92" s="2" t="s">
        <v>17</v>
      </c>
      <c r="E92" s="2" t="s">
        <v>14</v>
      </c>
      <c r="F92" s="2" t="s">
        <v>15</v>
      </c>
      <c r="G92" s="2" t="s">
        <v>25</v>
      </c>
    </row>
    <row r="93" spans="1:7">
      <c r="A93" t="s">
        <v>35</v>
      </c>
      <c r="B93" t="s">
        <v>67</v>
      </c>
      <c r="C93" t="s">
        <v>113</v>
      </c>
      <c r="D93" s="2" t="s">
        <v>17</v>
      </c>
      <c r="E93" s="2">
        <v>2015</v>
      </c>
      <c r="F93" s="2" t="s">
        <v>15</v>
      </c>
      <c r="G93" s="2" t="s">
        <v>25</v>
      </c>
    </row>
    <row r="94" spans="1:7">
      <c r="A94" t="s">
        <v>35</v>
      </c>
      <c r="B94" t="s">
        <v>67</v>
      </c>
      <c r="C94" t="s">
        <v>112</v>
      </c>
      <c r="D94" s="2" t="s">
        <v>17</v>
      </c>
      <c r="E94" s="2" t="s">
        <v>14</v>
      </c>
      <c r="F94">
        <v>2020</v>
      </c>
      <c r="G94" t="s">
        <v>25</v>
      </c>
    </row>
    <row r="95" spans="1:7">
      <c r="A95" t="s">
        <v>35</v>
      </c>
      <c r="B95" t="s">
        <v>67</v>
      </c>
      <c r="C95" t="s">
        <v>108</v>
      </c>
      <c r="D95" s="2" t="s">
        <v>17</v>
      </c>
      <c r="E95" s="2" t="s">
        <v>14</v>
      </c>
      <c r="F95" s="2" t="s">
        <v>15</v>
      </c>
      <c r="G95" s="2" t="s">
        <v>12</v>
      </c>
    </row>
    <row r="96" spans="1:7">
      <c r="A96" t="s">
        <v>35</v>
      </c>
      <c r="B96" t="s">
        <v>67</v>
      </c>
      <c r="C96" t="s">
        <v>109</v>
      </c>
      <c r="D96" s="2" t="s">
        <v>17</v>
      </c>
      <c r="E96" s="2" t="s">
        <v>14</v>
      </c>
      <c r="F96" s="2" t="s">
        <v>15</v>
      </c>
      <c r="G96" s="2" t="s">
        <v>25</v>
      </c>
    </row>
    <row r="97" spans="1:7">
      <c r="A97" t="s">
        <v>35</v>
      </c>
      <c r="B97" t="s">
        <v>65</v>
      </c>
      <c r="C97" t="s">
        <v>111</v>
      </c>
      <c r="D97" s="2" t="s">
        <v>17</v>
      </c>
      <c r="E97" s="2" t="s">
        <v>14</v>
      </c>
      <c r="F97" s="2" t="s">
        <v>15</v>
      </c>
      <c r="G97" s="2" t="s">
        <v>25</v>
      </c>
    </row>
    <row r="98" spans="1:7">
      <c r="A98" t="s">
        <v>35</v>
      </c>
      <c r="B98" t="s">
        <v>65</v>
      </c>
      <c r="C98" t="s">
        <v>113</v>
      </c>
      <c r="D98" s="2" t="s">
        <v>17</v>
      </c>
      <c r="E98" s="2">
        <v>2015</v>
      </c>
      <c r="F98" s="2" t="s">
        <v>15</v>
      </c>
      <c r="G98" s="2" t="s">
        <v>25</v>
      </c>
    </row>
    <row r="99" spans="1:7">
      <c r="A99" t="s">
        <v>35</v>
      </c>
      <c r="B99" t="s">
        <v>65</v>
      </c>
      <c r="C99" t="s">
        <v>112</v>
      </c>
      <c r="D99" s="2" t="s">
        <v>17</v>
      </c>
      <c r="E99" s="2" t="s">
        <v>14</v>
      </c>
      <c r="F99">
        <v>2020</v>
      </c>
      <c r="G99" t="s">
        <v>25</v>
      </c>
    </row>
    <row r="100" spans="1:7">
      <c r="A100" t="s">
        <v>35</v>
      </c>
      <c r="B100" t="s">
        <v>65</v>
      </c>
      <c r="C100" t="s">
        <v>108</v>
      </c>
      <c r="D100" s="2" t="s">
        <v>17</v>
      </c>
      <c r="E100" s="2" t="s">
        <v>14</v>
      </c>
      <c r="F100" s="2" t="s">
        <v>15</v>
      </c>
      <c r="G100" s="2" t="s">
        <v>12</v>
      </c>
    </row>
    <row r="101" spans="1:7">
      <c r="A101" t="s">
        <v>35</v>
      </c>
      <c r="B101" t="s">
        <v>65</v>
      </c>
      <c r="C101" t="s">
        <v>109</v>
      </c>
      <c r="D101" s="2" t="s">
        <v>17</v>
      </c>
      <c r="E101" s="2" t="s">
        <v>14</v>
      </c>
      <c r="F101" s="2" t="s">
        <v>15</v>
      </c>
      <c r="G101" s="2" t="s">
        <v>25</v>
      </c>
    </row>
    <row r="102" spans="1:7">
      <c r="A102" t="s">
        <v>35</v>
      </c>
      <c r="B102" t="s">
        <v>52</v>
      </c>
      <c r="C102" t="s">
        <v>111</v>
      </c>
      <c r="D102" s="2" t="s">
        <v>17</v>
      </c>
      <c r="E102" s="2" t="s">
        <v>14</v>
      </c>
      <c r="F102" s="2" t="s">
        <v>15</v>
      </c>
      <c r="G102" s="2" t="s">
        <v>25</v>
      </c>
    </row>
    <row r="103" spans="1:7">
      <c r="A103" t="s">
        <v>35</v>
      </c>
      <c r="B103" t="s">
        <v>52</v>
      </c>
      <c r="C103" t="s">
        <v>113</v>
      </c>
      <c r="D103" s="2" t="s">
        <v>17</v>
      </c>
      <c r="E103" s="2">
        <v>2015</v>
      </c>
      <c r="F103" s="2" t="s">
        <v>15</v>
      </c>
      <c r="G103" s="2" t="s">
        <v>25</v>
      </c>
    </row>
    <row r="104" spans="1:7">
      <c r="A104" t="s">
        <v>35</v>
      </c>
      <c r="B104" t="s">
        <v>52</v>
      </c>
      <c r="C104" t="s">
        <v>112</v>
      </c>
      <c r="D104" s="2" t="s">
        <v>17</v>
      </c>
      <c r="E104" s="2" t="s">
        <v>14</v>
      </c>
      <c r="F104">
        <v>2020</v>
      </c>
      <c r="G104" t="s">
        <v>25</v>
      </c>
    </row>
    <row r="105" spans="1:7">
      <c r="A105" t="s">
        <v>35</v>
      </c>
      <c r="B105" t="s">
        <v>52</v>
      </c>
      <c r="C105" t="s">
        <v>108</v>
      </c>
      <c r="D105" s="2" t="s">
        <v>17</v>
      </c>
      <c r="E105" s="2" t="s">
        <v>14</v>
      </c>
      <c r="F105" s="2" t="s">
        <v>15</v>
      </c>
      <c r="G105" s="2" t="s">
        <v>12</v>
      </c>
    </row>
    <row r="106" spans="1:7">
      <c r="A106" t="s">
        <v>35</v>
      </c>
      <c r="B106" t="s">
        <v>52</v>
      </c>
      <c r="C106" t="s">
        <v>109</v>
      </c>
      <c r="D106" s="2" t="s">
        <v>17</v>
      </c>
      <c r="E106" s="2" t="s">
        <v>14</v>
      </c>
      <c r="F106" s="2" t="s">
        <v>15</v>
      </c>
      <c r="G106" s="2" t="s">
        <v>25</v>
      </c>
    </row>
    <row r="107" spans="1:7">
      <c r="A107" t="s">
        <v>35</v>
      </c>
      <c r="B107" t="s">
        <v>55</v>
      </c>
      <c r="C107" t="s">
        <v>111</v>
      </c>
      <c r="D107" s="2" t="s">
        <v>17</v>
      </c>
      <c r="E107" s="2" t="s">
        <v>14</v>
      </c>
      <c r="F107" s="2" t="s">
        <v>15</v>
      </c>
      <c r="G107" s="2" t="s">
        <v>25</v>
      </c>
    </row>
    <row r="108" spans="1:7">
      <c r="A108" t="s">
        <v>35</v>
      </c>
      <c r="B108" t="s">
        <v>55</v>
      </c>
      <c r="C108" t="s">
        <v>113</v>
      </c>
      <c r="D108" s="2" t="s">
        <v>17</v>
      </c>
      <c r="E108" s="2">
        <v>2015</v>
      </c>
      <c r="F108" s="2" t="s">
        <v>15</v>
      </c>
      <c r="G108" s="2" t="s">
        <v>25</v>
      </c>
    </row>
    <row r="109" spans="1:7">
      <c r="A109" t="s">
        <v>35</v>
      </c>
      <c r="B109" t="s">
        <v>55</v>
      </c>
      <c r="C109" t="s">
        <v>112</v>
      </c>
      <c r="D109" s="2" t="s">
        <v>17</v>
      </c>
      <c r="E109" s="2" t="s">
        <v>14</v>
      </c>
      <c r="F109">
        <v>2020</v>
      </c>
      <c r="G109" t="s">
        <v>25</v>
      </c>
    </row>
    <row r="110" spans="1:7">
      <c r="A110" t="s">
        <v>35</v>
      </c>
      <c r="B110" t="s">
        <v>55</v>
      </c>
      <c r="C110" t="s">
        <v>108</v>
      </c>
      <c r="D110" s="2" t="s">
        <v>17</v>
      </c>
      <c r="E110" s="2" t="s">
        <v>14</v>
      </c>
      <c r="F110" s="2" t="s">
        <v>15</v>
      </c>
      <c r="G110" s="2" t="s">
        <v>12</v>
      </c>
    </row>
    <row r="111" spans="1:7">
      <c r="A111" t="s">
        <v>35</v>
      </c>
      <c r="B111" t="s">
        <v>55</v>
      </c>
      <c r="C111" t="s">
        <v>109</v>
      </c>
      <c r="D111" s="2" t="s">
        <v>17</v>
      </c>
      <c r="E111" s="2" t="s">
        <v>14</v>
      </c>
      <c r="F111" s="2" t="s">
        <v>15</v>
      </c>
      <c r="G111" s="2" t="s">
        <v>25</v>
      </c>
    </row>
    <row r="112" spans="1:7">
      <c r="A112" t="s">
        <v>35</v>
      </c>
      <c r="B112" t="s">
        <v>53</v>
      </c>
      <c r="C112" t="s">
        <v>111</v>
      </c>
      <c r="D112" s="2" t="s">
        <v>17</v>
      </c>
      <c r="E112" s="2" t="s">
        <v>14</v>
      </c>
      <c r="F112" s="2" t="s">
        <v>15</v>
      </c>
      <c r="G112" s="2" t="s">
        <v>25</v>
      </c>
    </row>
    <row r="113" spans="1:7">
      <c r="A113" t="s">
        <v>35</v>
      </c>
      <c r="B113" t="s">
        <v>53</v>
      </c>
      <c r="C113" t="s">
        <v>113</v>
      </c>
      <c r="D113" s="2" t="s">
        <v>17</v>
      </c>
      <c r="E113" s="2">
        <v>2015</v>
      </c>
      <c r="F113" s="2" t="s">
        <v>15</v>
      </c>
      <c r="G113" s="2" t="s">
        <v>25</v>
      </c>
    </row>
    <row r="114" spans="1:7">
      <c r="A114" t="s">
        <v>35</v>
      </c>
      <c r="B114" t="s">
        <v>53</v>
      </c>
      <c r="C114" t="s">
        <v>112</v>
      </c>
      <c r="D114" s="2" t="s">
        <v>17</v>
      </c>
      <c r="E114" s="2" t="s">
        <v>14</v>
      </c>
      <c r="F114">
        <v>2020</v>
      </c>
      <c r="G114" t="s">
        <v>25</v>
      </c>
    </row>
    <row r="115" spans="1:7">
      <c r="A115" t="s">
        <v>35</v>
      </c>
      <c r="B115" t="s">
        <v>53</v>
      </c>
      <c r="C115" t="s">
        <v>108</v>
      </c>
      <c r="D115" s="2" t="s">
        <v>17</v>
      </c>
      <c r="E115" s="2" t="s">
        <v>14</v>
      </c>
      <c r="F115" s="2" t="s">
        <v>15</v>
      </c>
      <c r="G115" s="2" t="s">
        <v>12</v>
      </c>
    </row>
    <row r="116" spans="1:7">
      <c r="A116" t="s">
        <v>35</v>
      </c>
      <c r="B116" t="s">
        <v>53</v>
      </c>
      <c r="C116" t="s">
        <v>109</v>
      </c>
      <c r="D116" s="2" t="s">
        <v>17</v>
      </c>
      <c r="E116" s="2" t="s">
        <v>14</v>
      </c>
      <c r="F116" s="2" t="s">
        <v>15</v>
      </c>
      <c r="G116" s="2" t="s">
        <v>25</v>
      </c>
    </row>
    <row r="117" spans="1:7">
      <c r="A117" t="s">
        <v>35</v>
      </c>
      <c r="B117" t="s">
        <v>75</v>
      </c>
      <c r="C117" t="s">
        <v>111</v>
      </c>
      <c r="D117" s="2" t="s">
        <v>17</v>
      </c>
      <c r="E117" s="2" t="s">
        <v>14</v>
      </c>
      <c r="F117" s="2" t="s">
        <v>15</v>
      </c>
      <c r="G117" s="2" t="s">
        <v>25</v>
      </c>
    </row>
    <row r="118" spans="1:7">
      <c r="A118" t="s">
        <v>35</v>
      </c>
      <c r="B118" t="s">
        <v>75</v>
      </c>
      <c r="C118" t="s">
        <v>113</v>
      </c>
      <c r="D118" s="2" t="s">
        <v>17</v>
      </c>
      <c r="E118" s="2">
        <v>2015</v>
      </c>
      <c r="F118" s="2" t="s">
        <v>15</v>
      </c>
      <c r="G118" s="2" t="s">
        <v>25</v>
      </c>
    </row>
    <row r="119" spans="1:7">
      <c r="A119" t="s">
        <v>35</v>
      </c>
      <c r="B119" t="s">
        <v>75</v>
      </c>
      <c r="C119" t="s">
        <v>112</v>
      </c>
      <c r="D119" s="2" t="s">
        <v>17</v>
      </c>
      <c r="E119" s="2" t="s">
        <v>14</v>
      </c>
      <c r="F119">
        <v>2020</v>
      </c>
      <c r="G119" t="s">
        <v>25</v>
      </c>
    </row>
    <row r="120" spans="1:7">
      <c r="A120" t="s">
        <v>35</v>
      </c>
      <c r="B120" t="s">
        <v>75</v>
      </c>
      <c r="C120" t="s">
        <v>108</v>
      </c>
      <c r="D120" s="2" t="s">
        <v>17</v>
      </c>
      <c r="E120" s="2" t="s">
        <v>14</v>
      </c>
      <c r="F120" s="2" t="s">
        <v>15</v>
      </c>
      <c r="G120" s="2" t="s">
        <v>12</v>
      </c>
    </row>
    <row r="121" spans="1:7">
      <c r="A121" t="s">
        <v>35</v>
      </c>
      <c r="B121" t="s">
        <v>75</v>
      </c>
      <c r="C121" t="s">
        <v>109</v>
      </c>
      <c r="D121" s="2" t="s">
        <v>17</v>
      </c>
      <c r="E121" s="2" t="s">
        <v>14</v>
      </c>
      <c r="F121" s="2" t="s">
        <v>15</v>
      </c>
      <c r="G121" s="2" t="s">
        <v>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G184"/>
  <sheetViews>
    <sheetView zoomScale="160" zoomScaleNormal="160" zoomScalePageLayoutView="160" workbookViewId="0">
      <selection activeCell="E8" sqref="E8"/>
    </sheetView>
  </sheetViews>
  <sheetFormatPr baseColWidth="10" defaultRowHeight="15" x14ac:dyDescent="0"/>
  <cols>
    <col min="1" max="1" width="18.5" customWidth="1"/>
    <col min="2" max="2" width="19.5" bestFit="1" customWidth="1"/>
    <col min="3" max="5" width="18.1640625" bestFit="1" customWidth="1"/>
    <col min="6" max="6" width="7.83203125" bestFit="1" customWidth="1"/>
    <col min="7" max="7" width="19.1640625" bestFit="1" customWidth="1"/>
  </cols>
  <sheetData>
    <row r="1" spans="1:7">
      <c r="A1" t="s">
        <v>127</v>
      </c>
    </row>
    <row r="2" spans="1:7">
      <c r="A2" t="s">
        <v>2</v>
      </c>
      <c r="B2" t="s">
        <v>45</v>
      </c>
      <c r="C2" t="s">
        <v>107</v>
      </c>
      <c r="D2" t="s">
        <v>19</v>
      </c>
      <c r="E2" t="s">
        <v>120</v>
      </c>
      <c r="F2" t="s">
        <v>121</v>
      </c>
      <c r="G2" t="s">
        <v>122</v>
      </c>
    </row>
    <row r="3" spans="1:7">
      <c r="A3" t="s">
        <v>37</v>
      </c>
      <c r="B3" t="s">
        <v>89</v>
      </c>
      <c r="C3" t="s">
        <v>108</v>
      </c>
      <c r="D3" t="s">
        <v>14</v>
      </c>
      <c r="E3" s="2">
        <v>40</v>
      </c>
      <c r="F3" s="2">
        <v>25</v>
      </c>
      <c r="G3" s="2">
        <v>0.124</v>
      </c>
    </row>
    <row r="4" spans="1:7">
      <c r="A4" t="s">
        <v>37</v>
      </c>
      <c r="B4" t="s">
        <v>89</v>
      </c>
      <c r="C4" t="s">
        <v>109</v>
      </c>
      <c r="D4" t="s">
        <v>14</v>
      </c>
      <c r="E4" s="2">
        <v>40</v>
      </c>
      <c r="F4" s="2">
        <v>25</v>
      </c>
      <c r="G4" s="2">
        <v>0.124</v>
      </c>
    </row>
    <row r="5" spans="1:7">
      <c r="A5" t="s">
        <v>37</v>
      </c>
      <c r="B5" t="s">
        <v>93</v>
      </c>
      <c r="C5" t="s">
        <v>108</v>
      </c>
      <c r="D5" t="s">
        <v>14</v>
      </c>
      <c r="E5" s="2">
        <v>40</v>
      </c>
      <c r="F5" s="2">
        <v>25</v>
      </c>
      <c r="G5" s="2">
        <v>0.124</v>
      </c>
    </row>
    <row r="6" spans="1:7">
      <c r="A6" t="s">
        <v>37</v>
      </c>
      <c r="B6" t="s">
        <v>93</v>
      </c>
      <c r="C6" t="s">
        <v>109</v>
      </c>
      <c r="D6" t="s">
        <v>14</v>
      </c>
      <c r="E6" s="2">
        <v>40</v>
      </c>
      <c r="F6" s="2">
        <v>25</v>
      </c>
      <c r="G6" s="2">
        <v>0.124</v>
      </c>
    </row>
    <row r="7" spans="1:7">
      <c r="A7" t="s">
        <v>37</v>
      </c>
      <c r="B7" t="s">
        <v>83</v>
      </c>
      <c r="C7" t="s">
        <v>108</v>
      </c>
      <c r="D7" t="s">
        <v>14</v>
      </c>
      <c r="E7" s="2">
        <v>40</v>
      </c>
      <c r="F7" s="2">
        <v>25</v>
      </c>
      <c r="G7" s="2">
        <v>0.124</v>
      </c>
    </row>
    <row r="8" spans="1:7">
      <c r="A8" t="s">
        <v>37</v>
      </c>
      <c r="B8" t="s">
        <v>83</v>
      </c>
      <c r="C8" t="s">
        <v>109</v>
      </c>
      <c r="D8" t="s">
        <v>14</v>
      </c>
      <c r="E8" s="2">
        <v>40</v>
      </c>
      <c r="F8" s="2">
        <v>25</v>
      </c>
      <c r="G8" s="2">
        <v>0.124</v>
      </c>
    </row>
    <row r="9" spans="1:7">
      <c r="A9" t="s">
        <v>37</v>
      </c>
      <c r="B9" t="s">
        <v>74</v>
      </c>
      <c r="C9" t="s">
        <v>108</v>
      </c>
      <c r="D9" t="s">
        <v>14</v>
      </c>
      <c r="E9" s="2">
        <v>40</v>
      </c>
      <c r="F9" s="2">
        <v>25</v>
      </c>
      <c r="G9" s="2">
        <v>0.124</v>
      </c>
    </row>
    <row r="10" spans="1:7">
      <c r="A10" t="s">
        <v>37</v>
      </c>
      <c r="B10" t="s">
        <v>74</v>
      </c>
      <c r="C10" t="s">
        <v>109</v>
      </c>
      <c r="D10" t="s">
        <v>14</v>
      </c>
      <c r="E10" s="2">
        <v>40</v>
      </c>
      <c r="F10" s="2">
        <v>25</v>
      </c>
      <c r="G10" s="2">
        <v>0.124</v>
      </c>
    </row>
    <row r="11" spans="1:7">
      <c r="A11" t="s">
        <v>37</v>
      </c>
      <c r="B11" t="s">
        <v>87</v>
      </c>
      <c r="C11" t="s">
        <v>108</v>
      </c>
      <c r="D11" t="s">
        <v>14</v>
      </c>
      <c r="E11" s="2">
        <v>40</v>
      </c>
      <c r="F11" s="2">
        <v>25</v>
      </c>
      <c r="G11" s="2">
        <v>0.124</v>
      </c>
    </row>
    <row r="12" spans="1:7">
      <c r="A12" t="s">
        <v>37</v>
      </c>
      <c r="B12" t="s">
        <v>87</v>
      </c>
      <c r="C12" t="s">
        <v>109</v>
      </c>
      <c r="D12" t="s">
        <v>14</v>
      </c>
      <c r="E12" s="2">
        <v>40</v>
      </c>
      <c r="F12" s="2">
        <v>25</v>
      </c>
      <c r="G12" s="2">
        <v>0.124</v>
      </c>
    </row>
    <row r="13" spans="1:7">
      <c r="A13" t="s">
        <v>37</v>
      </c>
      <c r="B13" t="s">
        <v>68</v>
      </c>
      <c r="C13" t="s">
        <v>108</v>
      </c>
      <c r="D13" t="s">
        <v>14</v>
      </c>
      <c r="E13" s="2">
        <v>25</v>
      </c>
      <c r="F13" s="2">
        <v>11</v>
      </c>
      <c r="G13" s="2">
        <v>0.23</v>
      </c>
    </row>
    <row r="14" spans="1:7">
      <c r="A14" t="s">
        <v>37</v>
      </c>
      <c r="B14" t="s">
        <v>68</v>
      </c>
      <c r="C14" t="s">
        <v>109</v>
      </c>
      <c r="D14" t="s">
        <v>14</v>
      </c>
      <c r="E14" s="2">
        <v>25</v>
      </c>
      <c r="F14" s="2">
        <v>11</v>
      </c>
      <c r="G14" s="2">
        <v>0.23</v>
      </c>
    </row>
    <row r="15" spans="1:7">
      <c r="A15" t="s">
        <v>37</v>
      </c>
      <c r="B15" t="s">
        <v>90</v>
      </c>
      <c r="C15" t="s">
        <v>108</v>
      </c>
      <c r="D15" t="s">
        <v>14</v>
      </c>
      <c r="E15" s="2">
        <v>25</v>
      </c>
      <c r="F15" s="2">
        <v>11</v>
      </c>
      <c r="G15" s="2">
        <v>0.23</v>
      </c>
    </row>
    <row r="16" spans="1:7">
      <c r="A16" t="s">
        <v>37</v>
      </c>
      <c r="B16" t="s">
        <v>90</v>
      </c>
      <c r="C16" t="s">
        <v>109</v>
      </c>
      <c r="D16" t="s">
        <v>14</v>
      </c>
      <c r="E16" s="2">
        <v>25</v>
      </c>
      <c r="F16" s="2">
        <v>11</v>
      </c>
      <c r="G16" s="2">
        <v>0.23</v>
      </c>
    </row>
    <row r="17" spans="1:7">
      <c r="A17" t="s">
        <v>37</v>
      </c>
      <c r="B17" t="s">
        <v>60</v>
      </c>
      <c r="C17" t="s">
        <v>108</v>
      </c>
      <c r="D17" t="s">
        <v>14</v>
      </c>
      <c r="E17" s="2">
        <v>25</v>
      </c>
      <c r="F17" s="2">
        <v>11</v>
      </c>
      <c r="G17" s="2">
        <v>0.23</v>
      </c>
    </row>
    <row r="18" spans="1:7">
      <c r="A18" t="s">
        <v>37</v>
      </c>
      <c r="B18" t="s">
        <v>60</v>
      </c>
      <c r="C18" t="s">
        <v>109</v>
      </c>
      <c r="D18" t="s">
        <v>14</v>
      </c>
      <c r="E18" s="2">
        <v>25</v>
      </c>
      <c r="F18" s="2">
        <v>11</v>
      </c>
      <c r="G18" s="2">
        <v>0.23</v>
      </c>
    </row>
    <row r="19" spans="1:7">
      <c r="A19" t="s">
        <v>37</v>
      </c>
      <c r="B19" t="s">
        <v>84</v>
      </c>
      <c r="C19" t="s">
        <v>108</v>
      </c>
      <c r="D19" t="s">
        <v>14</v>
      </c>
      <c r="E19" s="2">
        <v>25</v>
      </c>
      <c r="F19" s="2">
        <v>11</v>
      </c>
      <c r="G19" s="2">
        <v>0.23</v>
      </c>
    </row>
    <row r="20" spans="1:7">
      <c r="A20" t="s">
        <v>37</v>
      </c>
      <c r="B20" t="s">
        <v>84</v>
      </c>
      <c r="C20" t="s">
        <v>109</v>
      </c>
      <c r="D20" t="s">
        <v>14</v>
      </c>
      <c r="E20" s="2">
        <v>25</v>
      </c>
      <c r="F20" s="2">
        <v>11</v>
      </c>
      <c r="G20" s="2">
        <v>0.23</v>
      </c>
    </row>
    <row r="21" spans="1:7">
      <c r="A21" t="s">
        <v>37</v>
      </c>
      <c r="B21" t="s">
        <v>76</v>
      </c>
      <c r="C21" t="s">
        <v>108</v>
      </c>
      <c r="D21" t="s">
        <v>14</v>
      </c>
      <c r="E21" s="2">
        <v>40</v>
      </c>
      <c r="F21" s="2">
        <v>25</v>
      </c>
      <c r="G21" s="2">
        <v>0.124</v>
      </c>
    </row>
    <row r="22" spans="1:7">
      <c r="A22" t="s">
        <v>37</v>
      </c>
      <c r="B22" t="s">
        <v>76</v>
      </c>
      <c r="C22" t="s">
        <v>109</v>
      </c>
      <c r="D22" t="s">
        <v>14</v>
      </c>
      <c r="E22" s="2">
        <v>40</v>
      </c>
      <c r="F22" s="2">
        <v>25</v>
      </c>
      <c r="G22" s="2">
        <v>0.124</v>
      </c>
    </row>
    <row r="23" spans="1:7">
      <c r="A23" t="s">
        <v>37</v>
      </c>
      <c r="B23" t="s">
        <v>81</v>
      </c>
      <c r="C23" t="s">
        <v>108</v>
      </c>
      <c r="D23" t="s">
        <v>14</v>
      </c>
      <c r="E23" s="2">
        <v>40</v>
      </c>
      <c r="F23" s="2">
        <v>25</v>
      </c>
      <c r="G23" s="2">
        <v>0.124</v>
      </c>
    </row>
    <row r="24" spans="1:7">
      <c r="A24" t="s">
        <v>37</v>
      </c>
      <c r="B24" t="s">
        <v>81</v>
      </c>
      <c r="C24" t="s">
        <v>109</v>
      </c>
      <c r="D24" t="s">
        <v>14</v>
      </c>
      <c r="E24" s="2">
        <v>40</v>
      </c>
      <c r="F24" s="2">
        <v>25</v>
      </c>
      <c r="G24" s="2">
        <v>0.124</v>
      </c>
    </row>
    <row r="25" spans="1:7">
      <c r="A25" t="s">
        <v>37</v>
      </c>
      <c r="B25" t="s">
        <v>69</v>
      </c>
      <c r="C25" t="s">
        <v>108</v>
      </c>
      <c r="D25" t="s">
        <v>14</v>
      </c>
      <c r="E25" s="2">
        <v>40</v>
      </c>
      <c r="F25" s="2">
        <v>25</v>
      </c>
      <c r="G25" s="2">
        <v>0.124</v>
      </c>
    </row>
    <row r="26" spans="1:7">
      <c r="A26" t="s">
        <v>37</v>
      </c>
      <c r="B26" t="s">
        <v>69</v>
      </c>
      <c r="C26" t="s">
        <v>109</v>
      </c>
      <c r="D26" t="s">
        <v>14</v>
      </c>
      <c r="E26" s="2">
        <v>40</v>
      </c>
      <c r="F26" s="2">
        <v>25</v>
      </c>
      <c r="G26" s="2">
        <v>0.124</v>
      </c>
    </row>
    <row r="27" spans="1:7">
      <c r="A27" t="s">
        <v>37</v>
      </c>
      <c r="B27" t="s">
        <v>86</v>
      </c>
      <c r="C27" t="s">
        <v>108</v>
      </c>
      <c r="D27" t="s">
        <v>14</v>
      </c>
      <c r="E27" s="2">
        <v>40</v>
      </c>
      <c r="F27" s="2">
        <v>25</v>
      </c>
      <c r="G27" s="2">
        <v>0.124</v>
      </c>
    </row>
    <row r="28" spans="1:7">
      <c r="A28" t="s">
        <v>37</v>
      </c>
      <c r="B28" t="s">
        <v>86</v>
      </c>
      <c r="C28" t="s">
        <v>109</v>
      </c>
      <c r="D28" t="s">
        <v>14</v>
      </c>
      <c r="E28" s="2">
        <v>40</v>
      </c>
      <c r="F28" s="2">
        <v>25</v>
      </c>
      <c r="G28" s="2">
        <v>0.124</v>
      </c>
    </row>
    <row r="29" spans="1:7">
      <c r="A29" t="s">
        <v>37</v>
      </c>
      <c r="B29" t="s">
        <v>61</v>
      </c>
      <c r="C29" t="s">
        <v>108</v>
      </c>
      <c r="D29" t="s">
        <v>14</v>
      </c>
      <c r="E29" s="2">
        <v>40</v>
      </c>
      <c r="F29" s="2">
        <v>25</v>
      </c>
      <c r="G29" s="2">
        <v>0.124</v>
      </c>
    </row>
    <row r="30" spans="1:7">
      <c r="A30" t="s">
        <v>37</v>
      </c>
      <c r="B30" t="s">
        <v>61</v>
      </c>
      <c r="C30" t="s">
        <v>109</v>
      </c>
      <c r="D30" t="s">
        <v>14</v>
      </c>
      <c r="E30" s="2">
        <v>40</v>
      </c>
      <c r="F30" s="2">
        <v>25</v>
      </c>
      <c r="G30" s="2">
        <v>0.124</v>
      </c>
    </row>
    <row r="31" spans="1:7">
      <c r="A31" t="s">
        <v>37</v>
      </c>
      <c r="B31" t="s">
        <v>91</v>
      </c>
      <c r="C31" t="s">
        <v>108</v>
      </c>
      <c r="D31" t="s">
        <v>14</v>
      </c>
      <c r="E31" s="2">
        <v>40</v>
      </c>
      <c r="F31" s="2">
        <v>25</v>
      </c>
      <c r="G31" s="2">
        <v>0.124</v>
      </c>
    </row>
    <row r="32" spans="1:7">
      <c r="A32" t="s">
        <v>37</v>
      </c>
      <c r="B32" t="s">
        <v>91</v>
      </c>
      <c r="C32" t="s">
        <v>109</v>
      </c>
      <c r="D32" t="s">
        <v>14</v>
      </c>
      <c r="E32" s="2">
        <v>40</v>
      </c>
      <c r="F32" s="2">
        <v>25</v>
      </c>
      <c r="G32" s="2">
        <v>0.124</v>
      </c>
    </row>
    <row r="33" spans="1:7">
      <c r="A33" t="s">
        <v>37</v>
      </c>
      <c r="B33" t="s">
        <v>85</v>
      </c>
      <c r="C33" t="s">
        <v>108</v>
      </c>
      <c r="D33" t="s">
        <v>14</v>
      </c>
      <c r="E33" s="2">
        <v>40</v>
      </c>
      <c r="F33" s="2">
        <v>25</v>
      </c>
      <c r="G33" s="2">
        <v>0.124</v>
      </c>
    </row>
    <row r="34" spans="1:7">
      <c r="A34" t="s">
        <v>37</v>
      </c>
      <c r="B34" t="s">
        <v>85</v>
      </c>
      <c r="C34" t="s">
        <v>109</v>
      </c>
      <c r="D34" t="s">
        <v>14</v>
      </c>
      <c r="E34" s="2">
        <v>40</v>
      </c>
      <c r="F34" s="2">
        <v>25</v>
      </c>
      <c r="G34" s="2">
        <v>0.124</v>
      </c>
    </row>
    <row r="35" spans="1:7">
      <c r="A35" t="s">
        <v>37</v>
      </c>
      <c r="B35" t="s">
        <v>92</v>
      </c>
      <c r="C35" t="s">
        <v>108</v>
      </c>
      <c r="D35" t="s">
        <v>14</v>
      </c>
      <c r="E35" s="2">
        <v>40</v>
      </c>
      <c r="F35" s="2">
        <v>25</v>
      </c>
      <c r="G35" s="2">
        <v>0.124</v>
      </c>
    </row>
    <row r="36" spans="1:7">
      <c r="A36" t="s">
        <v>37</v>
      </c>
      <c r="B36" t="s">
        <v>92</v>
      </c>
      <c r="C36" t="s">
        <v>109</v>
      </c>
      <c r="D36" t="s">
        <v>14</v>
      </c>
      <c r="E36" s="2">
        <v>40</v>
      </c>
      <c r="F36" s="2">
        <v>25</v>
      </c>
      <c r="G36" s="2">
        <v>0.124</v>
      </c>
    </row>
    <row r="37" spans="1:7">
      <c r="A37" t="s">
        <v>37</v>
      </c>
      <c r="B37" t="s">
        <v>77</v>
      </c>
      <c r="C37" t="s">
        <v>108</v>
      </c>
      <c r="D37" t="s">
        <v>14</v>
      </c>
      <c r="E37" s="2">
        <v>40</v>
      </c>
      <c r="F37" s="2">
        <v>25</v>
      </c>
      <c r="G37" s="2">
        <v>0.124</v>
      </c>
    </row>
    <row r="38" spans="1:7">
      <c r="A38" t="s">
        <v>37</v>
      </c>
      <c r="B38" t="s">
        <v>77</v>
      </c>
      <c r="C38" t="s">
        <v>109</v>
      </c>
      <c r="D38" t="s">
        <v>14</v>
      </c>
      <c r="E38" s="2">
        <v>40</v>
      </c>
      <c r="F38" s="2">
        <v>25</v>
      </c>
      <c r="G38" s="2">
        <v>0.124</v>
      </c>
    </row>
    <row r="39" spans="1:7">
      <c r="A39" t="s">
        <v>37</v>
      </c>
      <c r="B39" t="s">
        <v>62</v>
      </c>
      <c r="C39" t="s">
        <v>108</v>
      </c>
      <c r="D39" t="s">
        <v>14</v>
      </c>
      <c r="E39" s="2">
        <v>40</v>
      </c>
      <c r="F39" s="2">
        <v>25</v>
      </c>
      <c r="G39" s="2">
        <v>0.124</v>
      </c>
    </row>
    <row r="40" spans="1:7">
      <c r="A40" t="s">
        <v>37</v>
      </c>
      <c r="B40" t="s">
        <v>62</v>
      </c>
      <c r="C40" t="s">
        <v>109</v>
      </c>
      <c r="D40" t="s">
        <v>14</v>
      </c>
      <c r="E40" s="2">
        <v>40</v>
      </c>
      <c r="F40" s="2">
        <v>25</v>
      </c>
      <c r="G40" s="2">
        <v>0.124</v>
      </c>
    </row>
    <row r="41" spans="1:7">
      <c r="A41" t="s">
        <v>37</v>
      </c>
      <c r="B41" t="s">
        <v>82</v>
      </c>
      <c r="C41" t="s">
        <v>108</v>
      </c>
      <c r="D41" t="s">
        <v>14</v>
      </c>
      <c r="E41" s="2">
        <v>40</v>
      </c>
      <c r="F41" s="2">
        <v>25</v>
      </c>
      <c r="G41" s="2">
        <v>0.124</v>
      </c>
    </row>
    <row r="42" spans="1:7">
      <c r="A42" t="s">
        <v>37</v>
      </c>
      <c r="B42" t="s">
        <v>82</v>
      </c>
      <c r="C42" t="s">
        <v>109</v>
      </c>
      <c r="D42" t="s">
        <v>14</v>
      </c>
      <c r="E42" s="2">
        <v>40</v>
      </c>
      <c r="F42" s="2">
        <v>25</v>
      </c>
      <c r="G42" s="2">
        <v>0.124</v>
      </c>
    </row>
    <row r="43" spans="1:7">
      <c r="A43" t="s">
        <v>37</v>
      </c>
      <c r="B43" t="s">
        <v>73</v>
      </c>
      <c r="C43" t="s">
        <v>108</v>
      </c>
      <c r="D43" t="s">
        <v>14</v>
      </c>
      <c r="E43" s="2">
        <v>40</v>
      </c>
      <c r="F43" s="2">
        <v>25</v>
      </c>
      <c r="G43" s="2">
        <v>0.124</v>
      </c>
    </row>
    <row r="44" spans="1:7">
      <c r="A44" t="s">
        <v>37</v>
      </c>
      <c r="B44" t="s">
        <v>73</v>
      </c>
      <c r="C44" t="s">
        <v>109</v>
      </c>
      <c r="D44" t="s">
        <v>14</v>
      </c>
      <c r="E44" s="2">
        <v>40</v>
      </c>
      <c r="F44" s="2">
        <v>25</v>
      </c>
      <c r="G44" s="2">
        <v>0.124</v>
      </c>
    </row>
    <row r="45" spans="1:7">
      <c r="A45" t="s">
        <v>37</v>
      </c>
      <c r="B45" t="s">
        <v>70</v>
      </c>
      <c r="C45" t="s">
        <v>108</v>
      </c>
      <c r="D45" t="s">
        <v>14</v>
      </c>
      <c r="E45" s="2">
        <v>40</v>
      </c>
      <c r="F45" s="2">
        <v>25</v>
      </c>
      <c r="G45" s="2">
        <v>0.124</v>
      </c>
    </row>
    <row r="46" spans="1:7">
      <c r="A46" t="s">
        <v>37</v>
      </c>
      <c r="B46" t="s">
        <v>70</v>
      </c>
      <c r="C46" t="s">
        <v>109</v>
      </c>
      <c r="D46" t="s">
        <v>14</v>
      </c>
      <c r="E46" s="2">
        <v>40</v>
      </c>
      <c r="F46" s="2">
        <v>25</v>
      </c>
      <c r="G46" s="2">
        <v>0.124</v>
      </c>
    </row>
    <row r="47" spans="1:7">
      <c r="A47" t="s">
        <v>37</v>
      </c>
      <c r="B47" t="s">
        <v>63</v>
      </c>
      <c r="C47" t="s">
        <v>108</v>
      </c>
      <c r="D47" t="s">
        <v>14</v>
      </c>
      <c r="E47" s="2">
        <v>40</v>
      </c>
      <c r="F47" s="2">
        <v>25</v>
      </c>
      <c r="G47" s="2">
        <v>0.124</v>
      </c>
    </row>
    <row r="48" spans="1:7">
      <c r="A48" t="s">
        <v>37</v>
      </c>
      <c r="B48" t="s">
        <v>63</v>
      </c>
      <c r="C48" t="s">
        <v>109</v>
      </c>
      <c r="D48" t="s">
        <v>14</v>
      </c>
      <c r="E48" s="2">
        <v>40</v>
      </c>
      <c r="F48" s="2">
        <v>25</v>
      </c>
      <c r="G48" s="2">
        <v>0.124</v>
      </c>
    </row>
    <row r="49" spans="1:7">
      <c r="A49" t="s">
        <v>35</v>
      </c>
      <c r="B49" t="s">
        <v>54</v>
      </c>
      <c r="C49" t="s">
        <v>111</v>
      </c>
      <c r="D49" t="s">
        <v>14</v>
      </c>
      <c r="E49">
        <v>25</v>
      </c>
      <c r="F49">
        <v>11</v>
      </c>
      <c r="G49">
        <v>0.218</v>
      </c>
    </row>
    <row r="50" spans="1:7">
      <c r="A50" t="s">
        <v>35</v>
      </c>
      <c r="B50" t="s">
        <v>54</v>
      </c>
      <c r="C50" t="s">
        <v>113</v>
      </c>
      <c r="D50" t="s">
        <v>14</v>
      </c>
      <c r="E50">
        <v>25</v>
      </c>
      <c r="F50">
        <v>11</v>
      </c>
      <c r="G50">
        <v>0.218</v>
      </c>
    </row>
    <row r="51" spans="1:7">
      <c r="A51" t="s">
        <v>35</v>
      </c>
      <c r="B51" t="s">
        <v>54</v>
      </c>
      <c r="C51" t="s">
        <v>112</v>
      </c>
      <c r="D51" t="s">
        <v>14</v>
      </c>
      <c r="E51">
        <v>25</v>
      </c>
      <c r="F51">
        <v>11</v>
      </c>
      <c r="G51">
        <v>0.218</v>
      </c>
    </row>
    <row r="52" spans="1:7">
      <c r="A52" t="s">
        <v>35</v>
      </c>
      <c r="B52" t="s">
        <v>54</v>
      </c>
      <c r="C52" t="s">
        <v>108</v>
      </c>
      <c r="D52" t="s">
        <v>14</v>
      </c>
      <c r="E52">
        <v>25</v>
      </c>
      <c r="F52">
        <v>11</v>
      </c>
      <c r="G52">
        <v>0.218</v>
      </c>
    </row>
    <row r="53" spans="1:7">
      <c r="A53" t="s">
        <v>35</v>
      </c>
      <c r="B53" t="s">
        <v>54</v>
      </c>
      <c r="C53" t="s">
        <v>109</v>
      </c>
      <c r="D53" t="s">
        <v>14</v>
      </c>
      <c r="E53">
        <v>25</v>
      </c>
      <c r="F53">
        <v>11</v>
      </c>
      <c r="G53">
        <v>0.218</v>
      </c>
    </row>
    <row r="54" spans="1:7">
      <c r="A54" t="s">
        <v>35</v>
      </c>
      <c r="B54" t="s">
        <v>66</v>
      </c>
      <c r="C54" t="s">
        <v>111</v>
      </c>
      <c r="D54" t="s">
        <v>14</v>
      </c>
      <c r="E54">
        <v>25</v>
      </c>
      <c r="F54">
        <v>11</v>
      </c>
      <c r="G54">
        <v>0.218</v>
      </c>
    </row>
    <row r="55" spans="1:7">
      <c r="A55" t="s">
        <v>35</v>
      </c>
      <c r="B55" t="s">
        <v>66</v>
      </c>
      <c r="C55" t="s">
        <v>113</v>
      </c>
      <c r="D55" t="s">
        <v>14</v>
      </c>
      <c r="E55">
        <v>25</v>
      </c>
      <c r="F55">
        <v>11</v>
      </c>
      <c r="G55">
        <v>0.218</v>
      </c>
    </row>
    <row r="56" spans="1:7">
      <c r="A56" t="s">
        <v>35</v>
      </c>
      <c r="B56" t="s">
        <v>66</v>
      </c>
      <c r="C56" t="s">
        <v>112</v>
      </c>
      <c r="D56" t="s">
        <v>14</v>
      </c>
      <c r="E56">
        <v>25</v>
      </c>
      <c r="F56">
        <v>11</v>
      </c>
      <c r="G56">
        <v>0.218</v>
      </c>
    </row>
    <row r="57" spans="1:7">
      <c r="A57" t="s">
        <v>35</v>
      </c>
      <c r="B57" t="s">
        <v>66</v>
      </c>
      <c r="C57" t="s">
        <v>108</v>
      </c>
      <c r="D57" t="s">
        <v>14</v>
      </c>
      <c r="E57">
        <v>25</v>
      </c>
      <c r="F57">
        <v>11</v>
      </c>
      <c r="G57">
        <v>0.218</v>
      </c>
    </row>
    <row r="58" spans="1:7">
      <c r="A58" t="s">
        <v>35</v>
      </c>
      <c r="B58" t="s">
        <v>66</v>
      </c>
      <c r="C58" t="s">
        <v>109</v>
      </c>
      <c r="D58" t="s">
        <v>14</v>
      </c>
      <c r="E58">
        <v>25</v>
      </c>
      <c r="F58">
        <v>11</v>
      </c>
      <c r="G58">
        <v>0.218</v>
      </c>
    </row>
    <row r="59" spans="1:7">
      <c r="A59" t="s">
        <v>35</v>
      </c>
      <c r="B59" t="s">
        <v>72</v>
      </c>
      <c r="C59" t="s">
        <v>111</v>
      </c>
      <c r="D59" t="s">
        <v>14</v>
      </c>
      <c r="E59">
        <v>25</v>
      </c>
      <c r="F59">
        <v>11</v>
      </c>
      <c r="G59">
        <v>0.23</v>
      </c>
    </row>
    <row r="60" spans="1:7">
      <c r="A60" t="s">
        <v>35</v>
      </c>
      <c r="B60" t="s">
        <v>72</v>
      </c>
      <c r="C60" t="s">
        <v>113</v>
      </c>
      <c r="D60" t="s">
        <v>14</v>
      </c>
      <c r="E60">
        <v>25</v>
      </c>
      <c r="F60">
        <v>11</v>
      </c>
      <c r="G60">
        <v>0.23</v>
      </c>
    </row>
    <row r="61" spans="1:7">
      <c r="A61" t="s">
        <v>35</v>
      </c>
      <c r="B61" t="s">
        <v>72</v>
      </c>
      <c r="C61" t="s">
        <v>112</v>
      </c>
      <c r="D61" t="s">
        <v>14</v>
      </c>
      <c r="E61">
        <v>25</v>
      </c>
      <c r="F61">
        <v>11</v>
      </c>
      <c r="G61">
        <v>0.23</v>
      </c>
    </row>
    <row r="62" spans="1:7">
      <c r="A62" t="s">
        <v>35</v>
      </c>
      <c r="B62" t="s">
        <v>72</v>
      </c>
      <c r="C62" t="s">
        <v>108</v>
      </c>
      <c r="D62" t="s">
        <v>14</v>
      </c>
      <c r="E62">
        <v>25</v>
      </c>
      <c r="F62">
        <v>11</v>
      </c>
      <c r="G62">
        <v>0.23</v>
      </c>
    </row>
    <row r="63" spans="1:7">
      <c r="A63" t="s">
        <v>35</v>
      </c>
      <c r="B63" t="s">
        <v>72</v>
      </c>
      <c r="C63" t="s">
        <v>109</v>
      </c>
      <c r="D63" t="s">
        <v>14</v>
      </c>
      <c r="E63">
        <v>25</v>
      </c>
      <c r="F63">
        <v>11</v>
      </c>
      <c r="G63">
        <v>0.23</v>
      </c>
    </row>
    <row r="64" spans="1:7">
      <c r="A64" t="s">
        <v>35</v>
      </c>
      <c r="B64" t="s">
        <v>67</v>
      </c>
      <c r="C64" t="s">
        <v>111</v>
      </c>
      <c r="D64" t="s">
        <v>14</v>
      </c>
      <c r="E64">
        <v>25</v>
      </c>
      <c r="F64">
        <v>11</v>
      </c>
      <c r="G64">
        <v>0.23</v>
      </c>
    </row>
    <row r="65" spans="1:7">
      <c r="A65" t="s">
        <v>35</v>
      </c>
      <c r="B65" t="s">
        <v>67</v>
      </c>
      <c r="C65" t="s">
        <v>113</v>
      </c>
      <c r="D65" t="s">
        <v>14</v>
      </c>
      <c r="E65">
        <v>25</v>
      </c>
      <c r="F65">
        <v>11</v>
      </c>
      <c r="G65">
        <v>0.23</v>
      </c>
    </row>
    <row r="66" spans="1:7">
      <c r="A66" t="s">
        <v>35</v>
      </c>
      <c r="B66" t="s">
        <v>67</v>
      </c>
      <c r="C66" t="s">
        <v>112</v>
      </c>
      <c r="D66" t="s">
        <v>14</v>
      </c>
      <c r="E66">
        <v>25</v>
      </c>
      <c r="F66">
        <v>11</v>
      </c>
      <c r="G66">
        <v>0.23</v>
      </c>
    </row>
    <row r="67" spans="1:7">
      <c r="A67" t="s">
        <v>35</v>
      </c>
      <c r="B67" t="s">
        <v>67</v>
      </c>
      <c r="C67" t="s">
        <v>108</v>
      </c>
      <c r="D67" t="s">
        <v>14</v>
      </c>
      <c r="E67">
        <v>25</v>
      </c>
      <c r="F67">
        <v>11</v>
      </c>
      <c r="G67">
        <v>0.23</v>
      </c>
    </row>
    <row r="68" spans="1:7">
      <c r="A68" t="s">
        <v>35</v>
      </c>
      <c r="B68" t="s">
        <v>67</v>
      </c>
      <c r="C68" t="s">
        <v>109</v>
      </c>
      <c r="D68" t="s">
        <v>14</v>
      </c>
      <c r="E68">
        <v>25</v>
      </c>
      <c r="F68">
        <v>11</v>
      </c>
      <c r="G68">
        <v>0.23</v>
      </c>
    </row>
    <row r="69" spans="1:7">
      <c r="A69" t="s">
        <v>35</v>
      </c>
      <c r="B69" t="s">
        <v>65</v>
      </c>
      <c r="C69" t="s">
        <v>111</v>
      </c>
      <c r="D69" t="s">
        <v>14</v>
      </c>
      <c r="E69">
        <v>25</v>
      </c>
      <c r="F69">
        <v>11</v>
      </c>
      <c r="G69">
        <v>0.218</v>
      </c>
    </row>
    <row r="70" spans="1:7">
      <c r="A70" t="s">
        <v>35</v>
      </c>
      <c r="B70" t="s">
        <v>65</v>
      </c>
      <c r="C70" t="s">
        <v>113</v>
      </c>
      <c r="D70" t="s">
        <v>14</v>
      </c>
      <c r="E70">
        <v>25</v>
      </c>
      <c r="F70">
        <v>11</v>
      </c>
      <c r="G70">
        <v>0.218</v>
      </c>
    </row>
    <row r="71" spans="1:7">
      <c r="A71" t="s">
        <v>35</v>
      </c>
      <c r="B71" t="s">
        <v>65</v>
      </c>
      <c r="C71" t="s">
        <v>112</v>
      </c>
      <c r="D71" t="s">
        <v>14</v>
      </c>
      <c r="E71">
        <v>25</v>
      </c>
      <c r="F71">
        <v>11</v>
      </c>
      <c r="G71">
        <v>0.218</v>
      </c>
    </row>
    <row r="72" spans="1:7">
      <c r="A72" t="s">
        <v>35</v>
      </c>
      <c r="B72" t="s">
        <v>65</v>
      </c>
      <c r="C72" t="s">
        <v>108</v>
      </c>
      <c r="D72" t="s">
        <v>14</v>
      </c>
      <c r="E72">
        <v>25</v>
      </c>
      <c r="F72">
        <v>11</v>
      </c>
      <c r="G72">
        <v>0.218</v>
      </c>
    </row>
    <row r="73" spans="1:7">
      <c r="A73" t="s">
        <v>35</v>
      </c>
      <c r="B73" t="s">
        <v>65</v>
      </c>
      <c r="C73" t="s">
        <v>109</v>
      </c>
      <c r="D73" t="s">
        <v>14</v>
      </c>
      <c r="E73">
        <v>25</v>
      </c>
      <c r="F73">
        <v>11</v>
      </c>
      <c r="G73">
        <v>0.218</v>
      </c>
    </row>
    <row r="74" spans="1:7">
      <c r="A74" t="s">
        <v>35</v>
      </c>
      <c r="B74" t="s">
        <v>52</v>
      </c>
      <c r="C74" t="s">
        <v>111</v>
      </c>
      <c r="D74" t="s">
        <v>14</v>
      </c>
      <c r="E74">
        <v>25</v>
      </c>
      <c r="F74">
        <v>11</v>
      </c>
      <c r="G74">
        <v>0.218</v>
      </c>
    </row>
    <row r="75" spans="1:7">
      <c r="A75" t="s">
        <v>35</v>
      </c>
      <c r="B75" t="s">
        <v>52</v>
      </c>
      <c r="C75" t="s">
        <v>113</v>
      </c>
      <c r="D75" t="s">
        <v>14</v>
      </c>
      <c r="E75">
        <v>25</v>
      </c>
      <c r="F75">
        <v>11</v>
      </c>
      <c r="G75">
        <v>0.218</v>
      </c>
    </row>
    <row r="76" spans="1:7">
      <c r="A76" t="s">
        <v>35</v>
      </c>
      <c r="B76" t="s">
        <v>52</v>
      </c>
      <c r="C76" t="s">
        <v>112</v>
      </c>
      <c r="D76" t="s">
        <v>14</v>
      </c>
      <c r="E76">
        <v>25</v>
      </c>
      <c r="F76">
        <v>11</v>
      </c>
      <c r="G76">
        <v>0.218</v>
      </c>
    </row>
    <row r="77" spans="1:7">
      <c r="A77" t="s">
        <v>35</v>
      </c>
      <c r="B77" t="s">
        <v>52</v>
      </c>
      <c r="C77" t="s">
        <v>108</v>
      </c>
      <c r="D77" t="s">
        <v>14</v>
      </c>
      <c r="E77">
        <v>25</v>
      </c>
      <c r="F77">
        <v>11</v>
      </c>
      <c r="G77">
        <v>0.218</v>
      </c>
    </row>
    <row r="78" spans="1:7">
      <c r="A78" t="s">
        <v>35</v>
      </c>
      <c r="B78" t="s">
        <v>52</v>
      </c>
      <c r="C78" t="s">
        <v>109</v>
      </c>
      <c r="D78" t="s">
        <v>14</v>
      </c>
      <c r="E78">
        <v>25</v>
      </c>
      <c r="F78">
        <v>11</v>
      </c>
      <c r="G78">
        <v>0.218</v>
      </c>
    </row>
    <row r="79" spans="1:7">
      <c r="A79" t="s">
        <v>35</v>
      </c>
      <c r="B79" t="s">
        <v>55</v>
      </c>
      <c r="C79" t="s">
        <v>111</v>
      </c>
      <c r="D79" t="s">
        <v>14</v>
      </c>
      <c r="E79">
        <v>25</v>
      </c>
      <c r="F79">
        <v>11</v>
      </c>
      <c r="G79">
        <v>0.218</v>
      </c>
    </row>
    <row r="80" spans="1:7">
      <c r="A80" t="s">
        <v>35</v>
      </c>
      <c r="B80" t="s">
        <v>55</v>
      </c>
      <c r="C80" t="s">
        <v>113</v>
      </c>
      <c r="D80" t="s">
        <v>14</v>
      </c>
      <c r="E80">
        <v>25</v>
      </c>
      <c r="F80">
        <v>11</v>
      </c>
      <c r="G80">
        <v>0.218</v>
      </c>
    </row>
    <row r="81" spans="1:7">
      <c r="A81" t="s">
        <v>35</v>
      </c>
      <c r="B81" t="s">
        <v>55</v>
      </c>
      <c r="C81" t="s">
        <v>112</v>
      </c>
      <c r="D81" t="s">
        <v>14</v>
      </c>
      <c r="E81">
        <v>25</v>
      </c>
      <c r="F81">
        <v>11</v>
      </c>
      <c r="G81">
        <v>0.218</v>
      </c>
    </row>
    <row r="82" spans="1:7">
      <c r="A82" t="s">
        <v>35</v>
      </c>
      <c r="B82" t="s">
        <v>55</v>
      </c>
      <c r="C82" t="s">
        <v>108</v>
      </c>
      <c r="D82" t="s">
        <v>14</v>
      </c>
      <c r="E82">
        <v>25</v>
      </c>
      <c r="F82">
        <v>11</v>
      </c>
      <c r="G82">
        <v>0.218</v>
      </c>
    </row>
    <row r="83" spans="1:7">
      <c r="A83" t="s">
        <v>35</v>
      </c>
      <c r="B83" t="s">
        <v>55</v>
      </c>
      <c r="C83" t="s">
        <v>109</v>
      </c>
      <c r="D83" t="s">
        <v>14</v>
      </c>
      <c r="E83">
        <v>25</v>
      </c>
      <c r="F83">
        <v>11</v>
      </c>
      <c r="G83">
        <v>0.218</v>
      </c>
    </row>
    <row r="84" spans="1:7">
      <c r="A84" t="s">
        <v>35</v>
      </c>
      <c r="B84" t="s">
        <v>53</v>
      </c>
      <c r="C84" t="s">
        <v>111</v>
      </c>
      <c r="D84" t="s">
        <v>14</v>
      </c>
      <c r="E84">
        <v>25</v>
      </c>
      <c r="F84">
        <v>11</v>
      </c>
      <c r="G84">
        <v>0.218</v>
      </c>
    </row>
    <row r="85" spans="1:7">
      <c r="A85" t="s">
        <v>35</v>
      </c>
      <c r="B85" t="s">
        <v>53</v>
      </c>
      <c r="C85" t="s">
        <v>113</v>
      </c>
      <c r="D85" t="s">
        <v>14</v>
      </c>
      <c r="E85">
        <v>25</v>
      </c>
      <c r="F85">
        <v>11</v>
      </c>
      <c r="G85">
        <v>0.218</v>
      </c>
    </row>
    <row r="86" spans="1:7">
      <c r="A86" t="s">
        <v>35</v>
      </c>
      <c r="B86" t="s">
        <v>53</v>
      </c>
      <c r="C86" t="s">
        <v>112</v>
      </c>
      <c r="D86" t="s">
        <v>14</v>
      </c>
      <c r="E86">
        <v>25</v>
      </c>
      <c r="F86">
        <v>11</v>
      </c>
      <c r="G86">
        <v>0.218</v>
      </c>
    </row>
    <row r="87" spans="1:7">
      <c r="A87" t="s">
        <v>35</v>
      </c>
      <c r="B87" t="s">
        <v>53</v>
      </c>
      <c r="C87" t="s">
        <v>108</v>
      </c>
      <c r="D87" t="s">
        <v>14</v>
      </c>
      <c r="E87">
        <v>25</v>
      </c>
      <c r="F87">
        <v>11</v>
      </c>
      <c r="G87">
        <v>0.218</v>
      </c>
    </row>
    <row r="88" spans="1:7">
      <c r="A88" t="s">
        <v>35</v>
      </c>
      <c r="B88" t="s">
        <v>53</v>
      </c>
      <c r="C88" t="s">
        <v>109</v>
      </c>
      <c r="D88" t="s">
        <v>14</v>
      </c>
      <c r="E88">
        <v>25</v>
      </c>
      <c r="F88">
        <v>11</v>
      </c>
      <c r="G88">
        <v>0.218</v>
      </c>
    </row>
    <row r="89" spans="1:7">
      <c r="A89" t="s">
        <v>35</v>
      </c>
      <c r="B89" t="s">
        <v>75</v>
      </c>
      <c r="C89" t="s">
        <v>111</v>
      </c>
      <c r="D89" t="s">
        <v>14</v>
      </c>
      <c r="E89">
        <v>25</v>
      </c>
      <c r="F89">
        <v>11</v>
      </c>
      <c r="G89">
        <v>0.218</v>
      </c>
    </row>
    <row r="90" spans="1:7">
      <c r="A90" t="s">
        <v>35</v>
      </c>
      <c r="B90" t="s">
        <v>75</v>
      </c>
      <c r="C90" t="s">
        <v>113</v>
      </c>
      <c r="D90" t="s">
        <v>14</v>
      </c>
      <c r="E90">
        <v>25</v>
      </c>
      <c r="F90">
        <v>11</v>
      </c>
      <c r="G90">
        <v>0.218</v>
      </c>
    </row>
    <row r="91" spans="1:7">
      <c r="A91" t="s">
        <v>35</v>
      </c>
      <c r="B91" t="s">
        <v>75</v>
      </c>
      <c r="C91" t="s">
        <v>112</v>
      </c>
      <c r="D91" t="s">
        <v>14</v>
      </c>
      <c r="E91">
        <v>25</v>
      </c>
      <c r="F91">
        <v>11</v>
      </c>
      <c r="G91">
        <v>0.218</v>
      </c>
    </row>
    <row r="92" spans="1:7">
      <c r="A92" t="s">
        <v>35</v>
      </c>
      <c r="B92" t="s">
        <v>75</v>
      </c>
      <c r="C92" t="s">
        <v>108</v>
      </c>
      <c r="D92" t="s">
        <v>14</v>
      </c>
      <c r="E92">
        <v>25</v>
      </c>
      <c r="F92">
        <v>11</v>
      </c>
      <c r="G92">
        <v>0.218</v>
      </c>
    </row>
    <row r="93" spans="1:7">
      <c r="A93" t="s">
        <v>35</v>
      </c>
      <c r="B93" t="s">
        <v>75</v>
      </c>
      <c r="C93" t="s">
        <v>109</v>
      </c>
      <c r="D93" t="s">
        <v>14</v>
      </c>
      <c r="E93">
        <v>25</v>
      </c>
      <c r="F93">
        <v>11</v>
      </c>
      <c r="G93">
        <v>0.218</v>
      </c>
    </row>
    <row r="94" spans="1:7">
      <c r="A94" t="s">
        <v>37</v>
      </c>
      <c r="B94" t="s">
        <v>89</v>
      </c>
      <c r="C94" t="s">
        <v>108</v>
      </c>
      <c r="D94" t="s">
        <v>123</v>
      </c>
      <c r="E94">
        <v>40</v>
      </c>
      <c r="F94">
        <v>20</v>
      </c>
      <c r="G94">
        <v>0.122</v>
      </c>
    </row>
    <row r="95" spans="1:7">
      <c r="A95" t="s">
        <v>37</v>
      </c>
      <c r="B95" t="s">
        <v>89</v>
      </c>
      <c r="C95" t="s">
        <v>109</v>
      </c>
      <c r="D95" t="s">
        <v>123</v>
      </c>
      <c r="E95">
        <v>40</v>
      </c>
      <c r="F95">
        <v>20</v>
      </c>
      <c r="G95">
        <v>0.122</v>
      </c>
    </row>
    <row r="96" spans="1:7">
      <c r="A96" t="s">
        <v>37</v>
      </c>
      <c r="B96" t="s">
        <v>93</v>
      </c>
      <c r="C96" t="s">
        <v>108</v>
      </c>
      <c r="D96" t="s">
        <v>123</v>
      </c>
      <c r="E96">
        <v>40</v>
      </c>
      <c r="F96">
        <v>20</v>
      </c>
      <c r="G96">
        <v>0.122</v>
      </c>
    </row>
    <row r="97" spans="1:7">
      <c r="A97" t="s">
        <v>37</v>
      </c>
      <c r="B97" t="s">
        <v>93</v>
      </c>
      <c r="C97" t="s">
        <v>109</v>
      </c>
      <c r="D97" t="s">
        <v>123</v>
      </c>
      <c r="E97">
        <v>40</v>
      </c>
      <c r="F97">
        <v>20</v>
      </c>
      <c r="G97">
        <v>0.122</v>
      </c>
    </row>
    <row r="98" spans="1:7">
      <c r="A98" t="s">
        <v>37</v>
      </c>
      <c r="B98" t="s">
        <v>83</v>
      </c>
      <c r="C98" t="s">
        <v>108</v>
      </c>
      <c r="D98" t="s">
        <v>123</v>
      </c>
      <c r="E98">
        <v>40</v>
      </c>
      <c r="F98">
        <v>20</v>
      </c>
      <c r="G98">
        <v>0.122</v>
      </c>
    </row>
    <row r="99" spans="1:7">
      <c r="A99" t="s">
        <v>37</v>
      </c>
      <c r="B99" t="s">
        <v>83</v>
      </c>
      <c r="C99" t="s">
        <v>109</v>
      </c>
      <c r="D99" t="s">
        <v>123</v>
      </c>
      <c r="E99">
        <v>40</v>
      </c>
      <c r="F99">
        <v>20</v>
      </c>
      <c r="G99">
        <v>0.122</v>
      </c>
    </row>
    <row r="100" spans="1:7">
      <c r="A100" t="s">
        <v>37</v>
      </c>
      <c r="B100" t="s">
        <v>74</v>
      </c>
      <c r="C100" t="s">
        <v>108</v>
      </c>
      <c r="D100" t="s">
        <v>123</v>
      </c>
      <c r="E100">
        <v>40</v>
      </c>
      <c r="F100">
        <v>20</v>
      </c>
      <c r="G100">
        <v>0.122</v>
      </c>
    </row>
    <row r="101" spans="1:7">
      <c r="A101" t="s">
        <v>37</v>
      </c>
      <c r="B101" t="s">
        <v>74</v>
      </c>
      <c r="C101" t="s">
        <v>109</v>
      </c>
      <c r="D101" t="s">
        <v>123</v>
      </c>
      <c r="E101">
        <v>40</v>
      </c>
      <c r="F101">
        <v>20</v>
      </c>
      <c r="G101">
        <v>0.122</v>
      </c>
    </row>
    <row r="102" spans="1:7">
      <c r="A102" t="s">
        <v>37</v>
      </c>
      <c r="B102" t="s">
        <v>87</v>
      </c>
      <c r="C102" t="s">
        <v>108</v>
      </c>
      <c r="D102" t="s">
        <v>123</v>
      </c>
      <c r="E102">
        <v>40</v>
      </c>
      <c r="F102">
        <v>20</v>
      </c>
      <c r="G102">
        <v>0.122</v>
      </c>
    </row>
    <row r="103" spans="1:7">
      <c r="A103" t="s">
        <v>37</v>
      </c>
      <c r="B103" t="s">
        <v>87</v>
      </c>
      <c r="C103" t="s">
        <v>109</v>
      </c>
      <c r="D103" t="s">
        <v>123</v>
      </c>
      <c r="E103">
        <v>40</v>
      </c>
      <c r="F103">
        <v>20</v>
      </c>
      <c r="G103">
        <v>0.122</v>
      </c>
    </row>
    <row r="104" spans="1:7">
      <c r="A104" t="s">
        <v>37</v>
      </c>
      <c r="B104" t="s">
        <v>68</v>
      </c>
      <c r="C104" t="s">
        <v>108</v>
      </c>
      <c r="D104" t="s">
        <v>123</v>
      </c>
      <c r="E104">
        <v>25</v>
      </c>
      <c r="F104">
        <v>12</v>
      </c>
      <c r="G104">
        <v>0.193</v>
      </c>
    </row>
    <row r="105" spans="1:7">
      <c r="A105" t="s">
        <v>37</v>
      </c>
      <c r="B105" t="s">
        <v>68</v>
      </c>
      <c r="C105" t="s">
        <v>109</v>
      </c>
      <c r="D105" t="s">
        <v>123</v>
      </c>
      <c r="E105">
        <v>25</v>
      </c>
      <c r="F105">
        <v>12</v>
      </c>
      <c r="G105">
        <v>0.193</v>
      </c>
    </row>
    <row r="106" spans="1:7">
      <c r="A106" t="s">
        <v>37</v>
      </c>
      <c r="B106" t="s">
        <v>90</v>
      </c>
      <c r="C106" t="s">
        <v>108</v>
      </c>
      <c r="D106" t="s">
        <v>123</v>
      </c>
      <c r="E106">
        <v>25</v>
      </c>
      <c r="F106">
        <v>12</v>
      </c>
      <c r="G106">
        <v>0.193</v>
      </c>
    </row>
    <row r="107" spans="1:7">
      <c r="A107" t="s">
        <v>37</v>
      </c>
      <c r="B107" t="s">
        <v>90</v>
      </c>
      <c r="C107" t="s">
        <v>109</v>
      </c>
      <c r="D107" t="s">
        <v>123</v>
      </c>
      <c r="E107">
        <v>25</v>
      </c>
      <c r="F107">
        <v>12</v>
      </c>
      <c r="G107">
        <v>0.193</v>
      </c>
    </row>
    <row r="108" spans="1:7">
      <c r="A108" t="s">
        <v>37</v>
      </c>
      <c r="B108" t="s">
        <v>60</v>
      </c>
      <c r="C108" t="s">
        <v>108</v>
      </c>
      <c r="D108" t="s">
        <v>123</v>
      </c>
      <c r="E108">
        <v>25</v>
      </c>
      <c r="F108">
        <v>12</v>
      </c>
      <c r="G108">
        <v>0.193</v>
      </c>
    </row>
    <row r="109" spans="1:7">
      <c r="A109" t="s">
        <v>37</v>
      </c>
      <c r="B109" t="s">
        <v>60</v>
      </c>
      <c r="C109" t="s">
        <v>109</v>
      </c>
      <c r="D109" t="s">
        <v>123</v>
      </c>
      <c r="E109">
        <v>25</v>
      </c>
      <c r="F109">
        <v>12</v>
      </c>
      <c r="G109">
        <v>0.193</v>
      </c>
    </row>
    <row r="110" spans="1:7">
      <c r="A110" t="s">
        <v>37</v>
      </c>
      <c r="B110" t="s">
        <v>84</v>
      </c>
      <c r="C110" t="s">
        <v>108</v>
      </c>
      <c r="D110" t="s">
        <v>123</v>
      </c>
      <c r="E110">
        <v>25</v>
      </c>
      <c r="F110">
        <v>12</v>
      </c>
      <c r="G110">
        <v>0.193</v>
      </c>
    </row>
    <row r="111" spans="1:7">
      <c r="A111" t="s">
        <v>37</v>
      </c>
      <c r="B111" t="s">
        <v>84</v>
      </c>
      <c r="C111" t="s">
        <v>109</v>
      </c>
      <c r="D111" t="s">
        <v>123</v>
      </c>
      <c r="E111">
        <v>25</v>
      </c>
      <c r="F111">
        <v>12</v>
      </c>
      <c r="G111">
        <v>0.193</v>
      </c>
    </row>
    <row r="112" spans="1:7">
      <c r="A112" t="s">
        <v>37</v>
      </c>
      <c r="B112" t="s">
        <v>76</v>
      </c>
      <c r="C112" t="s">
        <v>108</v>
      </c>
      <c r="D112" t="s">
        <v>123</v>
      </c>
      <c r="E112">
        <v>40</v>
      </c>
      <c r="F112">
        <v>20</v>
      </c>
      <c r="G112">
        <v>0.122</v>
      </c>
    </row>
    <row r="113" spans="1:7">
      <c r="A113" t="s">
        <v>37</v>
      </c>
      <c r="B113" t="s">
        <v>76</v>
      </c>
      <c r="C113" t="s">
        <v>109</v>
      </c>
      <c r="D113" t="s">
        <v>123</v>
      </c>
      <c r="E113">
        <v>40</v>
      </c>
      <c r="F113">
        <v>20</v>
      </c>
      <c r="G113">
        <v>0.122</v>
      </c>
    </row>
    <row r="114" spans="1:7">
      <c r="A114" t="s">
        <v>37</v>
      </c>
      <c r="B114" t="s">
        <v>81</v>
      </c>
      <c r="C114" t="s">
        <v>108</v>
      </c>
      <c r="D114" t="s">
        <v>123</v>
      </c>
      <c r="E114">
        <v>40</v>
      </c>
      <c r="F114">
        <v>20</v>
      </c>
      <c r="G114">
        <v>0.122</v>
      </c>
    </row>
    <row r="115" spans="1:7">
      <c r="A115" t="s">
        <v>37</v>
      </c>
      <c r="B115" t="s">
        <v>81</v>
      </c>
      <c r="C115" t="s">
        <v>109</v>
      </c>
      <c r="D115" t="s">
        <v>123</v>
      </c>
      <c r="E115">
        <v>40</v>
      </c>
      <c r="F115">
        <v>20</v>
      </c>
      <c r="G115">
        <v>0.122</v>
      </c>
    </row>
    <row r="116" spans="1:7">
      <c r="A116" t="s">
        <v>37</v>
      </c>
      <c r="B116" t="s">
        <v>69</v>
      </c>
      <c r="C116" t="s">
        <v>108</v>
      </c>
      <c r="D116" t="s">
        <v>123</v>
      </c>
      <c r="E116">
        <v>40</v>
      </c>
      <c r="F116">
        <v>20</v>
      </c>
      <c r="G116">
        <v>0.122</v>
      </c>
    </row>
    <row r="117" spans="1:7">
      <c r="A117" t="s">
        <v>37</v>
      </c>
      <c r="B117" t="s">
        <v>69</v>
      </c>
      <c r="C117" t="s">
        <v>109</v>
      </c>
      <c r="D117" t="s">
        <v>123</v>
      </c>
      <c r="E117">
        <v>40</v>
      </c>
      <c r="F117">
        <v>20</v>
      </c>
      <c r="G117">
        <v>0.122</v>
      </c>
    </row>
    <row r="118" spans="1:7">
      <c r="A118" t="s">
        <v>37</v>
      </c>
      <c r="B118" t="s">
        <v>86</v>
      </c>
      <c r="C118" t="s">
        <v>108</v>
      </c>
      <c r="D118" t="s">
        <v>123</v>
      </c>
      <c r="E118">
        <v>40</v>
      </c>
      <c r="F118">
        <v>20</v>
      </c>
      <c r="G118">
        <v>0.122</v>
      </c>
    </row>
    <row r="119" spans="1:7">
      <c r="A119" t="s">
        <v>37</v>
      </c>
      <c r="B119" t="s">
        <v>86</v>
      </c>
      <c r="C119" t="s">
        <v>109</v>
      </c>
      <c r="D119" t="s">
        <v>123</v>
      </c>
      <c r="E119">
        <v>40</v>
      </c>
      <c r="F119">
        <v>20</v>
      </c>
      <c r="G119">
        <v>0.122</v>
      </c>
    </row>
    <row r="120" spans="1:7">
      <c r="A120" t="s">
        <v>37</v>
      </c>
      <c r="B120" t="s">
        <v>61</v>
      </c>
      <c r="C120" t="s">
        <v>108</v>
      </c>
      <c r="D120" t="s">
        <v>123</v>
      </c>
      <c r="E120">
        <v>40</v>
      </c>
      <c r="F120">
        <v>20</v>
      </c>
      <c r="G120">
        <v>0.122</v>
      </c>
    </row>
    <row r="121" spans="1:7">
      <c r="A121" t="s">
        <v>37</v>
      </c>
      <c r="B121" t="s">
        <v>61</v>
      </c>
      <c r="C121" t="s">
        <v>109</v>
      </c>
      <c r="D121" t="s">
        <v>123</v>
      </c>
      <c r="E121">
        <v>40</v>
      </c>
      <c r="F121">
        <v>20</v>
      </c>
      <c r="G121">
        <v>0.122</v>
      </c>
    </row>
    <row r="122" spans="1:7">
      <c r="A122" t="s">
        <v>37</v>
      </c>
      <c r="B122" t="s">
        <v>91</v>
      </c>
      <c r="C122" t="s">
        <v>108</v>
      </c>
      <c r="D122" t="s">
        <v>123</v>
      </c>
      <c r="E122">
        <v>40</v>
      </c>
      <c r="F122">
        <v>20</v>
      </c>
      <c r="G122">
        <v>0.122</v>
      </c>
    </row>
    <row r="123" spans="1:7">
      <c r="A123" t="s">
        <v>37</v>
      </c>
      <c r="B123" t="s">
        <v>91</v>
      </c>
      <c r="C123" t="s">
        <v>109</v>
      </c>
      <c r="D123" t="s">
        <v>123</v>
      </c>
      <c r="E123">
        <v>40</v>
      </c>
      <c r="F123">
        <v>20</v>
      </c>
      <c r="G123">
        <v>0.122</v>
      </c>
    </row>
    <row r="124" spans="1:7">
      <c r="A124" t="s">
        <v>37</v>
      </c>
      <c r="B124" t="s">
        <v>85</v>
      </c>
      <c r="C124" t="s">
        <v>108</v>
      </c>
      <c r="D124" t="s">
        <v>123</v>
      </c>
      <c r="E124">
        <v>40</v>
      </c>
      <c r="F124">
        <v>20</v>
      </c>
      <c r="G124">
        <v>0.122</v>
      </c>
    </row>
    <row r="125" spans="1:7">
      <c r="A125" t="s">
        <v>37</v>
      </c>
      <c r="B125" t="s">
        <v>85</v>
      </c>
      <c r="C125" t="s">
        <v>109</v>
      </c>
      <c r="D125" t="s">
        <v>123</v>
      </c>
      <c r="E125">
        <v>40</v>
      </c>
      <c r="F125">
        <v>20</v>
      </c>
      <c r="G125">
        <v>0.122</v>
      </c>
    </row>
    <row r="126" spans="1:7">
      <c r="A126" t="s">
        <v>37</v>
      </c>
      <c r="B126" t="s">
        <v>92</v>
      </c>
      <c r="C126" t="s">
        <v>108</v>
      </c>
      <c r="D126" t="s">
        <v>123</v>
      </c>
      <c r="E126">
        <v>40</v>
      </c>
      <c r="F126">
        <v>20</v>
      </c>
      <c r="G126">
        <v>0.122</v>
      </c>
    </row>
    <row r="127" spans="1:7">
      <c r="A127" t="s">
        <v>37</v>
      </c>
      <c r="B127" t="s">
        <v>92</v>
      </c>
      <c r="C127" t="s">
        <v>109</v>
      </c>
      <c r="D127" t="s">
        <v>123</v>
      </c>
      <c r="E127">
        <v>40</v>
      </c>
      <c r="F127">
        <v>20</v>
      </c>
      <c r="G127">
        <v>0.122</v>
      </c>
    </row>
    <row r="128" spans="1:7">
      <c r="A128" t="s">
        <v>37</v>
      </c>
      <c r="B128" t="s">
        <v>77</v>
      </c>
      <c r="C128" t="s">
        <v>108</v>
      </c>
      <c r="D128" t="s">
        <v>123</v>
      </c>
      <c r="E128">
        <v>40</v>
      </c>
      <c r="F128">
        <v>20</v>
      </c>
      <c r="G128">
        <v>0.122</v>
      </c>
    </row>
    <row r="129" spans="1:7">
      <c r="A129" t="s">
        <v>37</v>
      </c>
      <c r="B129" t="s">
        <v>77</v>
      </c>
      <c r="C129" t="s">
        <v>109</v>
      </c>
      <c r="D129" t="s">
        <v>123</v>
      </c>
      <c r="E129">
        <v>40</v>
      </c>
      <c r="F129">
        <v>20</v>
      </c>
      <c r="G129">
        <v>0.122</v>
      </c>
    </row>
    <row r="130" spans="1:7">
      <c r="A130" t="s">
        <v>37</v>
      </c>
      <c r="B130" t="s">
        <v>62</v>
      </c>
      <c r="C130" t="s">
        <v>108</v>
      </c>
      <c r="D130" t="s">
        <v>123</v>
      </c>
      <c r="E130">
        <v>40</v>
      </c>
      <c r="F130">
        <v>20</v>
      </c>
      <c r="G130">
        <v>0.122</v>
      </c>
    </row>
    <row r="131" spans="1:7">
      <c r="A131" t="s">
        <v>37</v>
      </c>
      <c r="B131" t="s">
        <v>62</v>
      </c>
      <c r="C131" t="s">
        <v>109</v>
      </c>
      <c r="D131" t="s">
        <v>123</v>
      </c>
      <c r="E131">
        <v>40</v>
      </c>
      <c r="F131">
        <v>20</v>
      </c>
      <c r="G131">
        <v>0.122</v>
      </c>
    </row>
    <row r="132" spans="1:7">
      <c r="A132" t="s">
        <v>37</v>
      </c>
      <c r="B132" t="s">
        <v>82</v>
      </c>
      <c r="C132" t="s">
        <v>108</v>
      </c>
      <c r="D132" t="s">
        <v>123</v>
      </c>
      <c r="E132">
        <v>40</v>
      </c>
      <c r="F132">
        <v>20</v>
      </c>
      <c r="G132">
        <v>0.122</v>
      </c>
    </row>
    <row r="133" spans="1:7">
      <c r="A133" t="s">
        <v>37</v>
      </c>
      <c r="B133" t="s">
        <v>82</v>
      </c>
      <c r="C133" t="s">
        <v>109</v>
      </c>
      <c r="D133" t="s">
        <v>123</v>
      </c>
      <c r="E133">
        <v>40</v>
      </c>
      <c r="F133">
        <v>20</v>
      </c>
      <c r="G133">
        <v>0.122</v>
      </c>
    </row>
    <row r="134" spans="1:7">
      <c r="A134" t="s">
        <v>37</v>
      </c>
      <c r="B134" t="s">
        <v>73</v>
      </c>
      <c r="C134" t="s">
        <v>108</v>
      </c>
      <c r="D134" t="s">
        <v>123</v>
      </c>
      <c r="E134">
        <v>40</v>
      </c>
      <c r="F134">
        <v>20</v>
      </c>
      <c r="G134">
        <v>0.122</v>
      </c>
    </row>
    <row r="135" spans="1:7">
      <c r="A135" t="s">
        <v>37</v>
      </c>
      <c r="B135" t="s">
        <v>73</v>
      </c>
      <c r="C135" t="s">
        <v>109</v>
      </c>
      <c r="D135" t="s">
        <v>123</v>
      </c>
      <c r="E135">
        <v>40</v>
      </c>
      <c r="F135">
        <v>20</v>
      </c>
      <c r="G135">
        <v>0.122</v>
      </c>
    </row>
    <row r="136" spans="1:7">
      <c r="A136" t="s">
        <v>37</v>
      </c>
      <c r="B136" t="s">
        <v>70</v>
      </c>
      <c r="C136" t="s">
        <v>108</v>
      </c>
      <c r="D136" t="s">
        <v>123</v>
      </c>
      <c r="E136">
        <v>40</v>
      </c>
      <c r="F136">
        <v>20</v>
      </c>
      <c r="G136">
        <v>0.122</v>
      </c>
    </row>
    <row r="137" spans="1:7">
      <c r="A137" t="s">
        <v>37</v>
      </c>
      <c r="B137" t="s">
        <v>70</v>
      </c>
      <c r="C137" t="s">
        <v>109</v>
      </c>
      <c r="D137" t="s">
        <v>123</v>
      </c>
      <c r="E137">
        <v>40</v>
      </c>
      <c r="F137">
        <v>20</v>
      </c>
      <c r="G137">
        <v>0.122</v>
      </c>
    </row>
    <row r="138" spans="1:7">
      <c r="A138" t="s">
        <v>37</v>
      </c>
      <c r="B138" t="s">
        <v>63</v>
      </c>
      <c r="C138" t="s">
        <v>108</v>
      </c>
      <c r="D138" t="s">
        <v>123</v>
      </c>
      <c r="E138">
        <v>40</v>
      </c>
      <c r="F138">
        <v>20</v>
      </c>
      <c r="G138">
        <v>0.122</v>
      </c>
    </row>
    <row r="139" spans="1:7">
      <c r="A139" t="s">
        <v>37</v>
      </c>
      <c r="B139" t="s">
        <v>63</v>
      </c>
      <c r="C139" t="s">
        <v>109</v>
      </c>
      <c r="D139" t="s">
        <v>123</v>
      </c>
      <c r="E139">
        <v>40</v>
      </c>
      <c r="F139">
        <v>20</v>
      </c>
      <c r="G139">
        <v>0.122</v>
      </c>
    </row>
    <row r="140" spans="1:7">
      <c r="A140" t="s">
        <v>35</v>
      </c>
      <c r="B140" t="s">
        <v>54</v>
      </c>
      <c r="C140" t="s">
        <v>111</v>
      </c>
      <c r="D140" t="s">
        <v>123</v>
      </c>
      <c r="E140">
        <v>25</v>
      </c>
      <c r="F140">
        <v>12</v>
      </c>
      <c r="G140">
        <v>0.193</v>
      </c>
    </row>
    <row r="141" spans="1:7">
      <c r="A141" t="s">
        <v>35</v>
      </c>
      <c r="B141" t="s">
        <v>54</v>
      </c>
      <c r="C141" t="s">
        <v>113</v>
      </c>
      <c r="D141" t="s">
        <v>123</v>
      </c>
      <c r="E141">
        <v>25</v>
      </c>
      <c r="F141">
        <v>12</v>
      </c>
      <c r="G141">
        <v>0.193</v>
      </c>
    </row>
    <row r="142" spans="1:7">
      <c r="A142" t="s">
        <v>35</v>
      </c>
      <c r="B142" t="s">
        <v>54</v>
      </c>
      <c r="C142" t="s">
        <v>112</v>
      </c>
      <c r="D142" t="s">
        <v>123</v>
      </c>
      <c r="E142">
        <v>25</v>
      </c>
      <c r="F142">
        <v>12</v>
      </c>
      <c r="G142">
        <v>0.193</v>
      </c>
    </row>
    <row r="143" spans="1:7">
      <c r="A143" t="s">
        <v>35</v>
      </c>
      <c r="B143" t="s">
        <v>54</v>
      </c>
      <c r="C143" t="s">
        <v>108</v>
      </c>
      <c r="D143" t="s">
        <v>123</v>
      </c>
      <c r="E143">
        <v>25</v>
      </c>
      <c r="F143">
        <v>12</v>
      </c>
      <c r="G143">
        <v>0.193</v>
      </c>
    </row>
    <row r="144" spans="1:7">
      <c r="A144" t="s">
        <v>35</v>
      </c>
      <c r="B144" t="s">
        <v>54</v>
      </c>
      <c r="C144" t="s">
        <v>109</v>
      </c>
      <c r="D144" t="s">
        <v>123</v>
      </c>
      <c r="E144">
        <v>25</v>
      </c>
      <c r="F144">
        <v>12</v>
      </c>
      <c r="G144">
        <v>0.193</v>
      </c>
    </row>
    <row r="145" spans="1:7">
      <c r="A145" t="s">
        <v>35</v>
      </c>
      <c r="B145" t="s">
        <v>66</v>
      </c>
      <c r="C145" t="s">
        <v>111</v>
      </c>
      <c r="D145" t="s">
        <v>123</v>
      </c>
      <c r="E145">
        <v>25</v>
      </c>
      <c r="F145">
        <v>12</v>
      </c>
      <c r="G145">
        <v>0.193</v>
      </c>
    </row>
    <row r="146" spans="1:7">
      <c r="A146" t="s">
        <v>35</v>
      </c>
      <c r="B146" t="s">
        <v>66</v>
      </c>
      <c r="C146" t="s">
        <v>113</v>
      </c>
      <c r="D146" t="s">
        <v>123</v>
      </c>
      <c r="E146">
        <v>25</v>
      </c>
      <c r="F146">
        <v>12</v>
      </c>
      <c r="G146">
        <v>0.193</v>
      </c>
    </row>
    <row r="147" spans="1:7">
      <c r="A147" t="s">
        <v>35</v>
      </c>
      <c r="B147" t="s">
        <v>66</v>
      </c>
      <c r="C147" t="s">
        <v>112</v>
      </c>
      <c r="D147" t="s">
        <v>123</v>
      </c>
      <c r="E147">
        <v>25</v>
      </c>
      <c r="F147">
        <v>12</v>
      </c>
      <c r="G147">
        <v>0.193</v>
      </c>
    </row>
    <row r="148" spans="1:7">
      <c r="A148" t="s">
        <v>35</v>
      </c>
      <c r="B148" t="s">
        <v>66</v>
      </c>
      <c r="C148" t="s">
        <v>108</v>
      </c>
      <c r="D148" t="s">
        <v>123</v>
      </c>
      <c r="E148">
        <v>25</v>
      </c>
      <c r="F148">
        <v>12</v>
      </c>
      <c r="G148">
        <v>0.193</v>
      </c>
    </row>
    <row r="149" spans="1:7">
      <c r="A149" t="s">
        <v>35</v>
      </c>
      <c r="B149" t="s">
        <v>66</v>
      </c>
      <c r="C149" t="s">
        <v>109</v>
      </c>
      <c r="D149" t="s">
        <v>123</v>
      </c>
      <c r="E149">
        <v>25</v>
      </c>
      <c r="F149">
        <v>12</v>
      </c>
      <c r="G149">
        <v>0.193</v>
      </c>
    </row>
    <row r="150" spans="1:7">
      <c r="A150" t="s">
        <v>35</v>
      </c>
      <c r="B150" t="s">
        <v>72</v>
      </c>
      <c r="C150" t="s">
        <v>111</v>
      </c>
      <c r="D150" t="s">
        <v>123</v>
      </c>
      <c r="E150">
        <v>25</v>
      </c>
      <c r="F150">
        <v>12</v>
      </c>
      <c r="G150">
        <v>0.193</v>
      </c>
    </row>
    <row r="151" spans="1:7">
      <c r="A151" t="s">
        <v>35</v>
      </c>
      <c r="B151" t="s">
        <v>72</v>
      </c>
      <c r="C151" t="s">
        <v>113</v>
      </c>
      <c r="D151" t="s">
        <v>123</v>
      </c>
      <c r="E151">
        <v>25</v>
      </c>
      <c r="F151">
        <v>12</v>
      </c>
      <c r="G151">
        <v>0.193</v>
      </c>
    </row>
    <row r="152" spans="1:7">
      <c r="A152" t="s">
        <v>35</v>
      </c>
      <c r="B152" t="s">
        <v>72</v>
      </c>
      <c r="C152" t="s">
        <v>112</v>
      </c>
      <c r="D152" t="s">
        <v>123</v>
      </c>
      <c r="E152">
        <v>25</v>
      </c>
      <c r="F152">
        <v>12</v>
      </c>
      <c r="G152">
        <v>0.193</v>
      </c>
    </row>
    <row r="153" spans="1:7">
      <c r="A153" t="s">
        <v>35</v>
      </c>
      <c r="B153" t="s">
        <v>72</v>
      </c>
      <c r="C153" t="s">
        <v>108</v>
      </c>
      <c r="D153" t="s">
        <v>123</v>
      </c>
      <c r="E153">
        <v>25</v>
      </c>
      <c r="F153">
        <v>12</v>
      </c>
      <c r="G153">
        <v>0.193</v>
      </c>
    </row>
    <row r="154" spans="1:7">
      <c r="A154" t="s">
        <v>35</v>
      </c>
      <c r="B154" t="s">
        <v>72</v>
      </c>
      <c r="C154" t="s">
        <v>109</v>
      </c>
      <c r="D154" t="s">
        <v>123</v>
      </c>
      <c r="E154">
        <v>25</v>
      </c>
      <c r="F154">
        <v>12</v>
      </c>
      <c r="G154">
        <v>0.193</v>
      </c>
    </row>
    <row r="155" spans="1:7">
      <c r="A155" t="s">
        <v>35</v>
      </c>
      <c r="B155" t="s">
        <v>67</v>
      </c>
      <c r="C155" t="s">
        <v>111</v>
      </c>
      <c r="D155" t="s">
        <v>123</v>
      </c>
      <c r="E155">
        <v>25</v>
      </c>
      <c r="F155">
        <v>12</v>
      </c>
      <c r="G155">
        <v>0.193</v>
      </c>
    </row>
    <row r="156" spans="1:7">
      <c r="A156" t="s">
        <v>35</v>
      </c>
      <c r="B156" t="s">
        <v>67</v>
      </c>
      <c r="C156" t="s">
        <v>113</v>
      </c>
      <c r="D156" t="s">
        <v>123</v>
      </c>
      <c r="E156">
        <v>25</v>
      </c>
      <c r="F156">
        <v>12</v>
      </c>
      <c r="G156">
        <v>0.193</v>
      </c>
    </row>
    <row r="157" spans="1:7">
      <c r="A157" t="s">
        <v>35</v>
      </c>
      <c r="B157" t="s">
        <v>67</v>
      </c>
      <c r="C157" t="s">
        <v>112</v>
      </c>
      <c r="D157" t="s">
        <v>123</v>
      </c>
      <c r="E157">
        <v>25</v>
      </c>
      <c r="F157">
        <v>12</v>
      </c>
      <c r="G157">
        <v>0.193</v>
      </c>
    </row>
    <row r="158" spans="1:7">
      <c r="A158" t="s">
        <v>35</v>
      </c>
      <c r="B158" t="s">
        <v>67</v>
      </c>
      <c r="C158" t="s">
        <v>108</v>
      </c>
      <c r="D158" t="s">
        <v>123</v>
      </c>
      <c r="E158">
        <v>25</v>
      </c>
      <c r="F158">
        <v>12</v>
      </c>
      <c r="G158">
        <v>0.193</v>
      </c>
    </row>
    <row r="159" spans="1:7">
      <c r="A159" t="s">
        <v>35</v>
      </c>
      <c r="B159" t="s">
        <v>67</v>
      </c>
      <c r="C159" t="s">
        <v>109</v>
      </c>
      <c r="D159" t="s">
        <v>123</v>
      </c>
      <c r="E159">
        <v>25</v>
      </c>
      <c r="F159">
        <v>12</v>
      </c>
      <c r="G159">
        <v>0.193</v>
      </c>
    </row>
    <row r="160" spans="1:7">
      <c r="A160" t="s">
        <v>35</v>
      </c>
      <c r="B160" t="s">
        <v>65</v>
      </c>
      <c r="C160" t="s">
        <v>111</v>
      </c>
      <c r="D160" t="s">
        <v>123</v>
      </c>
      <c r="E160">
        <v>25</v>
      </c>
      <c r="F160">
        <v>12</v>
      </c>
      <c r="G160">
        <v>0.193</v>
      </c>
    </row>
    <row r="161" spans="1:7">
      <c r="A161" t="s">
        <v>35</v>
      </c>
      <c r="B161" t="s">
        <v>65</v>
      </c>
      <c r="C161" t="s">
        <v>113</v>
      </c>
      <c r="D161" t="s">
        <v>123</v>
      </c>
      <c r="E161">
        <v>25</v>
      </c>
      <c r="F161">
        <v>12</v>
      </c>
      <c r="G161">
        <v>0.193</v>
      </c>
    </row>
    <row r="162" spans="1:7">
      <c r="A162" t="s">
        <v>35</v>
      </c>
      <c r="B162" t="s">
        <v>65</v>
      </c>
      <c r="C162" t="s">
        <v>112</v>
      </c>
      <c r="D162" t="s">
        <v>123</v>
      </c>
      <c r="E162">
        <v>25</v>
      </c>
      <c r="F162">
        <v>12</v>
      </c>
      <c r="G162">
        <v>0.193</v>
      </c>
    </row>
    <row r="163" spans="1:7">
      <c r="A163" t="s">
        <v>35</v>
      </c>
      <c r="B163" t="s">
        <v>65</v>
      </c>
      <c r="C163" t="s">
        <v>108</v>
      </c>
      <c r="D163" t="s">
        <v>123</v>
      </c>
      <c r="E163">
        <v>25</v>
      </c>
      <c r="F163">
        <v>12</v>
      </c>
      <c r="G163">
        <v>0.193</v>
      </c>
    </row>
    <row r="164" spans="1:7">
      <c r="A164" t="s">
        <v>35</v>
      </c>
      <c r="B164" t="s">
        <v>65</v>
      </c>
      <c r="C164" t="s">
        <v>109</v>
      </c>
      <c r="D164" t="s">
        <v>123</v>
      </c>
      <c r="E164">
        <v>25</v>
      </c>
      <c r="F164">
        <v>12</v>
      </c>
      <c r="G164">
        <v>0.193</v>
      </c>
    </row>
    <row r="165" spans="1:7">
      <c r="A165" t="s">
        <v>35</v>
      </c>
      <c r="B165" t="s">
        <v>52</v>
      </c>
      <c r="C165" t="s">
        <v>111</v>
      </c>
      <c r="D165" t="s">
        <v>123</v>
      </c>
      <c r="E165">
        <v>25</v>
      </c>
      <c r="F165">
        <v>12</v>
      </c>
      <c r="G165">
        <v>0.193</v>
      </c>
    </row>
    <row r="166" spans="1:7">
      <c r="A166" t="s">
        <v>35</v>
      </c>
      <c r="B166" t="s">
        <v>52</v>
      </c>
      <c r="C166" t="s">
        <v>113</v>
      </c>
      <c r="D166" t="s">
        <v>123</v>
      </c>
      <c r="E166">
        <v>25</v>
      </c>
      <c r="F166">
        <v>12</v>
      </c>
      <c r="G166">
        <v>0.193</v>
      </c>
    </row>
    <row r="167" spans="1:7">
      <c r="A167" t="s">
        <v>35</v>
      </c>
      <c r="B167" t="s">
        <v>52</v>
      </c>
      <c r="C167" t="s">
        <v>112</v>
      </c>
      <c r="D167" t="s">
        <v>123</v>
      </c>
      <c r="E167">
        <v>25</v>
      </c>
      <c r="F167">
        <v>12</v>
      </c>
      <c r="G167">
        <v>0.193</v>
      </c>
    </row>
    <row r="168" spans="1:7">
      <c r="A168" t="s">
        <v>35</v>
      </c>
      <c r="B168" t="s">
        <v>52</v>
      </c>
      <c r="C168" t="s">
        <v>108</v>
      </c>
      <c r="D168" t="s">
        <v>123</v>
      </c>
      <c r="E168">
        <v>25</v>
      </c>
      <c r="F168">
        <v>12</v>
      </c>
      <c r="G168">
        <v>0.193</v>
      </c>
    </row>
    <row r="169" spans="1:7">
      <c r="A169" t="s">
        <v>35</v>
      </c>
      <c r="B169" t="s">
        <v>52</v>
      </c>
      <c r="C169" t="s">
        <v>109</v>
      </c>
      <c r="D169" t="s">
        <v>123</v>
      </c>
      <c r="E169">
        <v>25</v>
      </c>
      <c r="F169">
        <v>12</v>
      </c>
      <c r="G169">
        <v>0.193</v>
      </c>
    </row>
    <row r="170" spans="1:7">
      <c r="A170" t="s">
        <v>35</v>
      </c>
      <c r="B170" t="s">
        <v>55</v>
      </c>
      <c r="C170" t="s">
        <v>111</v>
      </c>
      <c r="D170" t="s">
        <v>123</v>
      </c>
      <c r="E170">
        <v>25</v>
      </c>
      <c r="F170">
        <v>12</v>
      </c>
      <c r="G170">
        <v>0.193</v>
      </c>
    </row>
    <row r="171" spans="1:7">
      <c r="A171" t="s">
        <v>35</v>
      </c>
      <c r="B171" t="s">
        <v>55</v>
      </c>
      <c r="C171" t="s">
        <v>113</v>
      </c>
      <c r="D171" t="s">
        <v>123</v>
      </c>
      <c r="E171">
        <v>25</v>
      </c>
      <c r="F171">
        <v>12</v>
      </c>
      <c r="G171">
        <v>0.193</v>
      </c>
    </row>
    <row r="172" spans="1:7">
      <c r="A172" t="s">
        <v>35</v>
      </c>
      <c r="B172" t="s">
        <v>55</v>
      </c>
      <c r="C172" t="s">
        <v>112</v>
      </c>
      <c r="D172" t="s">
        <v>123</v>
      </c>
      <c r="E172">
        <v>25</v>
      </c>
      <c r="F172">
        <v>12</v>
      </c>
      <c r="G172">
        <v>0.193</v>
      </c>
    </row>
    <row r="173" spans="1:7">
      <c r="A173" t="s">
        <v>35</v>
      </c>
      <c r="B173" t="s">
        <v>55</v>
      </c>
      <c r="C173" t="s">
        <v>108</v>
      </c>
      <c r="D173" t="s">
        <v>123</v>
      </c>
      <c r="E173">
        <v>25</v>
      </c>
      <c r="F173">
        <v>12</v>
      </c>
      <c r="G173">
        <v>0.193</v>
      </c>
    </row>
    <row r="174" spans="1:7">
      <c r="A174" t="s">
        <v>35</v>
      </c>
      <c r="B174" t="s">
        <v>55</v>
      </c>
      <c r="C174" t="s">
        <v>109</v>
      </c>
      <c r="D174" t="s">
        <v>123</v>
      </c>
      <c r="E174">
        <v>25</v>
      </c>
      <c r="F174">
        <v>12</v>
      </c>
      <c r="G174">
        <v>0.193</v>
      </c>
    </row>
    <row r="175" spans="1:7">
      <c r="A175" t="s">
        <v>35</v>
      </c>
      <c r="B175" t="s">
        <v>53</v>
      </c>
      <c r="C175" t="s">
        <v>111</v>
      </c>
      <c r="D175" t="s">
        <v>123</v>
      </c>
      <c r="E175">
        <v>25</v>
      </c>
      <c r="F175">
        <v>12</v>
      </c>
      <c r="G175">
        <v>0.193</v>
      </c>
    </row>
    <row r="176" spans="1:7">
      <c r="A176" t="s">
        <v>35</v>
      </c>
      <c r="B176" t="s">
        <v>53</v>
      </c>
      <c r="C176" t="s">
        <v>113</v>
      </c>
      <c r="D176" t="s">
        <v>123</v>
      </c>
      <c r="E176">
        <v>25</v>
      </c>
      <c r="F176">
        <v>12</v>
      </c>
      <c r="G176">
        <v>0.193</v>
      </c>
    </row>
    <row r="177" spans="1:7">
      <c r="A177" t="s">
        <v>35</v>
      </c>
      <c r="B177" t="s">
        <v>53</v>
      </c>
      <c r="C177" t="s">
        <v>112</v>
      </c>
      <c r="D177" t="s">
        <v>123</v>
      </c>
      <c r="E177">
        <v>25</v>
      </c>
      <c r="F177">
        <v>12</v>
      </c>
      <c r="G177">
        <v>0.193</v>
      </c>
    </row>
    <row r="178" spans="1:7">
      <c r="A178" t="s">
        <v>35</v>
      </c>
      <c r="B178" t="s">
        <v>53</v>
      </c>
      <c r="C178" t="s">
        <v>108</v>
      </c>
      <c r="D178" t="s">
        <v>123</v>
      </c>
      <c r="E178">
        <v>25</v>
      </c>
      <c r="F178">
        <v>12</v>
      </c>
      <c r="G178">
        <v>0.193</v>
      </c>
    </row>
    <row r="179" spans="1:7">
      <c r="A179" t="s">
        <v>35</v>
      </c>
      <c r="B179" t="s">
        <v>53</v>
      </c>
      <c r="C179" t="s">
        <v>109</v>
      </c>
      <c r="D179" t="s">
        <v>123</v>
      </c>
      <c r="E179">
        <v>25</v>
      </c>
      <c r="F179">
        <v>12</v>
      </c>
      <c r="G179">
        <v>0.193</v>
      </c>
    </row>
    <row r="180" spans="1:7">
      <c r="A180" t="s">
        <v>35</v>
      </c>
      <c r="B180" t="s">
        <v>75</v>
      </c>
      <c r="C180" t="s">
        <v>111</v>
      </c>
      <c r="D180" t="s">
        <v>123</v>
      </c>
      <c r="E180">
        <v>25</v>
      </c>
      <c r="F180">
        <v>12</v>
      </c>
      <c r="G180">
        <v>0.193</v>
      </c>
    </row>
    <row r="181" spans="1:7">
      <c r="A181" t="s">
        <v>35</v>
      </c>
      <c r="B181" t="s">
        <v>75</v>
      </c>
      <c r="C181" t="s">
        <v>113</v>
      </c>
      <c r="D181" t="s">
        <v>123</v>
      </c>
      <c r="E181">
        <v>25</v>
      </c>
      <c r="F181">
        <v>12</v>
      </c>
      <c r="G181">
        <v>0.193</v>
      </c>
    </row>
    <row r="182" spans="1:7">
      <c r="A182" t="s">
        <v>35</v>
      </c>
      <c r="B182" t="s">
        <v>75</v>
      </c>
      <c r="C182" t="s">
        <v>112</v>
      </c>
      <c r="D182" t="s">
        <v>123</v>
      </c>
      <c r="E182">
        <v>25</v>
      </c>
      <c r="F182">
        <v>12</v>
      </c>
      <c r="G182">
        <v>0.193</v>
      </c>
    </row>
    <row r="183" spans="1:7">
      <c r="A183" t="s">
        <v>35</v>
      </c>
      <c r="B183" t="s">
        <v>75</v>
      </c>
      <c r="C183" t="s">
        <v>108</v>
      </c>
      <c r="D183" t="s">
        <v>123</v>
      </c>
      <c r="E183">
        <v>25</v>
      </c>
      <c r="F183">
        <v>12</v>
      </c>
      <c r="G183">
        <v>0.193</v>
      </c>
    </row>
    <row r="184" spans="1:7">
      <c r="A184" t="s">
        <v>35</v>
      </c>
      <c r="B184" t="s">
        <v>75</v>
      </c>
      <c r="C184" t="s">
        <v>109</v>
      </c>
      <c r="D184" t="s">
        <v>123</v>
      </c>
      <c r="E184">
        <v>25</v>
      </c>
      <c r="F184">
        <v>12</v>
      </c>
      <c r="G184">
        <v>0.193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6"/>
  <sheetViews>
    <sheetView workbookViewId="0">
      <selection activeCell="D5" sqref="D5"/>
    </sheetView>
  </sheetViews>
  <sheetFormatPr baseColWidth="10" defaultRowHeight="15" x14ac:dyDescent="0"/>
  <cols>
    <col min="1" max="1" width="18.5" customWidth="1"/>
    <col min="3" max="3" width="13" bestFit="1" customWidth="1"/>
  </cols>
  <sheetData>
    <row r="1" spans="1:4">
      <c r="A1" t="s">
        <v>145</v>
      </c>
    </row>
    <row r="2" spans="1:4">
      <c r="A2" t="s">
        <v>21</v>
      </c>
      <c r="B2" t="s">
        <v>22</v>
      </c>
      <c r="C2" t="s">
        <v>23</v>
      </c>
      <c r="D2" t="s">
        <v>144</v>
      </c>
    </row>
    <row r="3" spans="1:4">
      <c r="A3" t="s">
        <v>105</v>
      </c>
      <c r="B3">
        <v>1</v>
      </c>
      <c r="C3">
        <v>-1.25</v>
      </c>
      <c r="D3">
        <v>1</v>
      </c>
    </row>
    <row r="4" spans="1:4">
      <c r="A4" t="s">
        <v>34</v>
      </c>
      <c r="B4">
        <v>0</v>
      </c>
      <c r="C4">
        <v>-0.65</v>
      </c>
      <c r="D4">
        <v>0.75</v>
      </c>
    </row>
    <row r="5" spans="1:4">
      <c r="A5" t="s">
        <v>38</v>
      </c>
      <c r="B5">
        <v>1</v>
      </c>
      <c r="C5">
        <v>-1</v>
      </c>
      <c r="D5">
        <v>1</v>
      </c>
    </row>
    <row r="6" spans="1:4">
      <c r="A6" t="s">
        <v>39</v>
      </c>
      <c r="B6">
        <v>0</v>
      </c>
      <c r="C6">
        <v>-0.65</v>
      </c>
      <c r="D6">
        <v>0.4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C4" sqref="C4"/>
    </sheetView>
  </sheetViews>
  <sheetFormatPr baseColWidth="10" defaultRowHeight="15" x14ac:dyDescent="0"/>
  <cols>
    <col min="1" max="1" width="19" customWidth="1"/>
    <col min="2" max="2" width="18.1640625" bestFit="1" customWidth="1"/>
  </cols>
  <sheetData>
    <row r="1" spans="1:6">
      <c r="A1" t="s">
        <v>146</v>
      </c>
    </row>
    <row r="2" spans="1:6">
      <c r="A2" t="s">
        <v>147</v>
      </c>
      <c r="B2" t="s">
        <v>21</v>
      </c>
      <c r="C2" t="s">
        <v>166</v>
      </c>
      <c r="D2" t="s">
        <v>163</v>
      </c>
      <c r="E2" t="s">
        <v>164</v>
      </c>
      <c r="F2" t="s">
        <v>165</v>
      </c>
    </row>
    <row r="3" spans="1:6">
      <c r="A3" t="s">
        <v>148</v>
      </c>
      <c r="B3" t="s">
        <v>105</v>
      </c>
      <c r="C3">
        <v>0.8</v>
      </c>
      <c r="D3">
        <v>0.8</v>
      </c>
      <c r="E3">
        <v>0.8</v>
      </c>
      <c r="F3">
        <v>0.8</v>
      </c>
    </row>
    <row r="4" spans="1:6">
      <c r="A4" t="s">
        <v>149</v>
      </c>
      <c r="B4" t="s">
        <v>38</v>
      </c>
      <c r="C4">
        <v>1</v>
      </c>
      <c r="D4">
        <v>1</v>
      </c>
      <c r="E4">
        <v>1</v>
      </c>
      <c r="F4">
        <v>1</v>
      </c>
    </row>
    <row r="5" spans="1:6">
      <c r="A5" t="s">
        <v>150</v>
      </c>
      <c r="B5" t="s">
        <v>38</v>
      </c>
      <c r="C5">
        <v>0.5</v>
      </c>
      <c r="D5">
        <v>0.5</v>
      </c>
      <c r="E5">
        <v>0.5</v>
      </c>
      <c r="F5">
        <v>0.5</v>
      </c>
    </row>
    <row r="6" spans="1:6">
      <c r="A6" t="s">
        <v>162</v>
      </c>
      <c r="B6" t="s">
        <v>38</v>
      </c>
      <c r="C6">
        <v>1</v>
      </c>
      <c r="D6">
        <v>1</v>
      </c>
      <c r="E6">
        <v>1</v>
      </c>
      <c r="F6">
        <v>1</v>
      </c>
    </row>
    <row r="7" spans="1:6">
      <c r="A7" t="s">
        <v>151</v>
      </c>
      <c r="B7" t="s">
        <v>38</v>
      </c>
      <c r="C7">
        <v>1.25</v>
      </c>
      <c r="D7">
        <v>1.25</v>
      </c>
      <c r="E7">
        <v>1.25</v>
      </c>
      <c r="F7">
        <v>1.25</v>
      </c>
    </row>
    <row r="8" spans="1:6">
      <c r="A8" t="s">
        <v>152</v>
      </c>
      <c r="B8" t="s">
        <v>38</v>
      </c>
      <c r="C8">
        <v>1.25</v>
      </c>
      <c r="D8">
        <v>1.25</v>
      </c>
      <c r="E8">
        <v>1.25</v>
      </c>
      <c r="F8">
        <v>1.25</v>
      </c>
    </row>
    <row r="9" spans="1:6">
      <c r="A9" t="s">
        <v>153</v>
      </c>
      <c r="B9" t="s">
        <v>38</v>
      </c>
      <c r="C9">
        <v>1.1000000000000001</v>
      </c>
      <c r="D9">
        <v>1.1000000000000001</v>
      </c>
      <c r="E9">
        <v>1.1000000000000001</v>
      </c>
      <c r="F9">
        <v>1.1000000000000001</v>
      </c>
    </row>
    <row r="10" spans="1:6">
      <c r="A10" t="s">
        <v>148</v>
      </c>
      <c r="B10" t="s">
        <v>38</v>
      </c>
      <c r="C10">
        <v>0.75</v>
      </c>
      <c r="D10">
        <v>0.75</v>
      </c>
      <c r="E10">
        <v>0.75</v>
      </c>
      <c r="F10">
        <v>0.75</v>
      </c>
    </row>
    <row r="11" spans="1:6">
      <c r="A11" t="s">
        <v>154</v>
      </c>
      <c r="B11" t="s">
        <v>38</v>
      </c>
      <c r="C11">
        <v>1.25</v>
      </c>
      <c r="D11">
        <v>1.25</v>
      </c>
      <c r="E11">
        <v>1.25</v>
      </c>
      <c r="F11">
        <v>1.25</v>
      </c>
    </row>
    <row r="12" spans="1:6">
      <c r="A12" t="s">
        <v>155</v>
      </c>
      <c r="B12" t="s">
        <v>38</v>
      </c>
      <c r="C12">
        <v>1.25</v>
      </c>
      <c r="D12">
        <v>1.25</v>
      </c>
      <c r="E12">
        <v>1.25</v>
      </c>
      <c r="F12">
        <v>1.25</v>
      </c>
    </row>
    <row r="13" spans="1:6">
      <c r="A13" t="s">
        <v>156</v>
      </c>
      <c r="B13" t="s">
        <v>38</v>
      </c>
      <c r="C13">
        <v>2</v>
      </c>
      <c r="D13">
        <v>2</v>
      </c>
      <c r="E13">
        <v>2</v>
      </c>
      <c r="F13">
        <v>2</v>
      </c>
    </row>
    <row r="14" spans="1:6">
      <c r="A14" t="s">
        <v>157</v>
      </c>
      <c r="B14" t="s">
        <v>38</v>
      </c>
      <c r="C14">
        <v>1</v>
      </c>
      <c r="D14">
        <v>1</v>
      </c>
      <c r="E14">
        <v>1</v>
      </c>
      <c r="F14">
        <v>1</v>
      </c>
    </row>
    <row r="15" spans="1:6">
      <c r="A15" t="s">
        <v>158</v>
      </c>
      <c r="B15" t="s">
        <v>38</v>
      </c>
      <c r="C15">
        <v>0.5</v>
      </c>
      <c r="D15">
        <v>0.5</v>
      </c>
      <c r="E15">
        <v>0.5</v>
      </c>
      <c r="F15">
        <v>0.5</v>
      </c>
    </row>
    <row r="16" spans="1:6">
      <c r="A16" t="s">
        <v>159</v>
      </c>
      <c r="B16" t="s">
        <v>38</v>
      </c>
      <c r="C16">
        <v>0.75</v>
      </c>
      <c r="D16">
        <v>0.75</v>
      </c>
      <c r="E16">
        <v>0.75</v>
      </c>
      <c r="F16">
        <v>0.75</v>
      </c>
    </row>
    <row r="17" spans="1:6">
      <c r="A17" t="s">
        <v>160</v>
      </c>
      <c r="B17" t="s">
        <v>38</v>
      </c>
      <c r="C17">
        <v>1</v>
      </c>
      <c r="D17">
        <v>1</v>
      </c>
      <c r="E17">
        <v>1</v>
      </c>
      <c r="F17">
        <v>1</v>
      </c>
    </row>
    <row r="18" spans="1:6">
      <c r="A18" t="s">
        <v>161</v>
      </c>
      <c r="B18" t="s">
        <v>38</v>
      </c>
      <c r="C18">
        <v>0.8</v>
      </c>
      <c r="D18">
        <v>0.8</v>
      </c>
      <c r="E18">
        <v>0.8</v>
      </c>
      <c r="F18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A54.sector.csv</vt:lpstr>
      <vt:lpstr>A54.tranSubsector_logit.csv</vt:lpstr>
      <vt:lpstr>A54.tranSubsector_shrwt.csv</vt:lpstr>
      <vt:lpstr>A54.tranSubsector_interp.csv</vt:lpstr>
      <vt:lpstr>A54.tranSubsector_VOTT.csv</vt:lpstr>
      <vt:lpstr>A54.globaltech_passthru.csv</vt:lpstr>
      <vt:lpstr>A54.globaltech_nonmotor.csv</vt:lpstr>
      <vt:lpstr>A54.globaltranTech_shrwt.csv</vt:lpstr>
      <vt:lpstr>A54.globaltranTech_interp.csv</vt:lpstr>
      <vt:lpstr>A54.globaltranTech_retire.csv</vt:lpstr>
      <vt:lpstr>A54.demand.csv</vt:lpstr>
      <vt:lpstr>A54.incelas_R.csv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2014-02-12T23:43:01Z</dcterms:modified>
</cp:coreProperties>
</file>