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4120" yWindow="1180" windowWidth="25360" windowHeight="15820" tabRatio="684"/>
  </bookViews>
  <sheets>
    <sheet name="A25.sector.csv" sheetId="60" r:id="rId1"/>
    <sheet name="A25.subsector_logit.csv" sheetId="61" r:id="rId2"/>
    <sheet name="A25.globaltech_keyword.csv" sheetId="71" r:id="rId3"/>
    <sheet name="A25.subsector_shrwt.csv" sheetId="62" r:id="rId4"/>
    <sheet name="A25.globaltech_cost.csv" sheetId="64" r:id="rId5"/>
    <sheet name="A25.globaltech_eff.csv" sheetId="65" r:id="rId6"/>
    <sheet name="A25.globaltech_shrwt.csv" sheetId="66" r:id="rId7"/>
    <sheet name="A25.globaltech_co2capture.csv" sheetId="67" r:id="rId8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64" l="1"/>
  <c r="E5" i="64"/>
</calcChain>
</file>

<file path=xl/sharedStrings.xml><?xml version="1.0" encoding="utf-8"?>
<sst xmlns="http://schemas.openxmlformats.org/spreadsheetml/2006/main" count="344" uniqueCount="56">
  <si>
    <t>technology</t>
  </si>
  <si>
    <t>minicam.energy.input</t>
  </si>
  <si>
    <t>regional natural gas</t>
  </si>
  <si>
    <t>regional coal</t>
  </si>
  <si>
    <t>biomass</t>
  </si>
  <si>
    <t>coal</t>
  </si>
  <si>
    <t>delivered gas</t>
  </si>
  <si>
    <t>regional biomass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</si>
  <si>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</si>
  <si>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</si>
  <si>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</si>
  <si>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</si>
  <si>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</si>
  <si>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</si>
  <si>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</si>
  <si>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</si>
  <si>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</si>
  <si>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elect_td_ind</t>
  </si>
  <si>
    <t>elect_td_trn</t>
  </si>
  <si>
    <t>share.weight</t>
  </si>
  <si>
    <t>start-year</t>
  </si>
  <si>
    <t>year.fillout</t>
  </si>
  <si>
    <t>year</t>
  </si>
  <si>
    <t>minicam.non.energy.input</t>
  </si>
  <si>
    <t>non-energy</t>
  </si>
  <si>
    <t>electricity</t>
  </si>
  <si>
    <t>gas</t>
  </si>
  <si>
    <t>nuclear</t>
  </si>
  <si>
    <t>wind</t>
  </si>
  <si>
    <t>solar</t>
  </si>
  <si>
    <t>onshore wind resource</t>
  </si>
  <si>
    <t>global solar resource</t>
  </si>
  <si>
    <t># District heat non-energy costs</t>
  </si>
  <si>
    <t>H2 enduse</t>
  </si>
  <si>
    <t>H2 distribution</t>
  </si>
  <si>
    <t>H2 forecourt production</t>
  </si>
  <si>
    <t>H2 central production</t>
  </si>
  <si>
    <t># Hydrogen supplysector characteristics</t>
  </si>
  <si>
    <t># Hydrogen subsector logit exponents</t>
  </si>
  <si>
    <t>coal chemical</t>
  </si>
  <si>
    <t>coal chemical CCS</t>
  </si>
  <si>
    <t>natural gas steam reforming</t>
  </si>
  <si>
    <t>biomass to H2</t>
  </si>
  <si>
    <t>thermal splitting</t>
  </si>
  <si>
    <t>electrolysis</t>
  </si>
  <si>
    <t>natural gas steam reforming CCS</t>
  </si>
  <si>
    <t>biomass to H2 CCS</t>
  </si>
  <si>
    <t># Hydrogen efficiencies. Different from GCAM 3.0 in that CCS tech efficiencies take into account electricity inputs and outputs (using 3:1 conversion)</t>
  </si>
  <si>
    <t># Hydrogen technology shareweights</t>
  </si>
  <si>
    <t># Hydrogen technology capture fractions</t>
  </si>
  <si>
    <t>primary.renewable</t>
  </si>
  <si>
    <t>average.fossil.efficiency</t>
  </si>
  <si>
    <t>nuclear-H2</t>
  </si>
  <si>
    <t>wind-H2</t>
  </si>
  <si>
    <t>solar-H2</t>
  </si>
  <si>
    <t># Hydrogen technology keywords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</si>
</sst>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3" fillId="0" borderId="0" xfId="0" applyFont="1"/>
  </cellXfs>
  <cellStyles count="17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6"/>
  <sheetViews>
    <sheetView tabSelected="1" zoomScale="160" zoomScaleNormal="160" zoomScalePageLayoutView="160" workbookViewId="0">
      <selection activeCell="C8" sqref="C8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5">
      <c r="A1" t="s">
        <v>37</v>
      </c>
    </row>
    <row r="2" spans="1:5">
      <c r="A2" t="s">
        <v>9</v>
      </c>
      <c r="B2" t="s">
        <v>13</v>
      </c>
      <c r="C2" t="s">
        <v>12</v>
      </c>
      <c r="D2" t="s">
        <v>14</v>
      </c>
      <c r="E2" t="s">
        <v>11</v>
      </c>
    </row>
    <row r="3" spans="1:5">
      <c r="A3" t="s">
        <v>36</v>
      </c>
      <c r="B3" t="s">
        <v>15</v>
      </c>
      <c r="C3" t="s">
        <v>15</v>
      </c>
      <c r="D3" t="s">
        <v>16</v>
      </c>
      <c r="E3">
        <v>-3</v>
      </c>
    </row>
    <row r="4" spans="1:5">
      <c r="A4" t="s">
        <v>35</v>
      </c>
      <c r="B4" t="s">
        <v>15</v>
      </c>
      <c r="C4" t="s">
        <v>15</v>
      </c>
      <c r="D4" t="s">
        <v>16</v>
      </c>
      <c r="E4">
        <v>-3</v>
      </c>
    </row>
    <row r="5" spans="1:5">
      <c r="A5" t="s">
        <v>34</v>
      </c>
      <c r="B5" t="s">
        <v>15</v>
      </c>
      <c r="C5" t="s">
        <v>15</v>
      </c>
      <c r="D5" t="s">
        <v>16</v>
      </c>
      <c r="E5">
        <v>-3</v>
      </c>
    </row>
    <row r="6" spans="1:5">
      <c r="A6" t="s">
        <v>33</v>
      </c>
      <c r="B6" t="s">
        <v>15</v>
      </c>
      <c r="C6" t="s">
        <v>15</v>
      </c>
      <c r="D6" t="s">
        <v>16</v>
      </c>
      <c r="E6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14"/>
  <sheetViews>
    <sheetView zoomScale="175" zoomScaleNormal="175" zoomScalePageLayoutView="175" workbookViewId="0">
      <selection activeCell="B14" sqref="B14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3">
      <c r="A1" t="s">
        <v>38</v>
      </c>
    </row>
    <row r="2" spans="1:3">
      <c r="A2" t="s">
        <v>9</v>
      </c>
      <c r="B2" t="s">
        <v>10</v>
      </c>
      <c r="C2" t="s">
        <v>11</v>
      </c>
    </row>
    <row r="3" spans="1:3">
      <c r="A3" t="s">
        <v>36</v>
      </c>
      <c r="B3" t="s">
        <v>5</v>
      </c>
      <c r="C3">
        <v>-10</v>
      </c>
    </row>
    <row r="4" spans="1:3">
      <c r="A4" t="s">
        <v>36</v>
      </c>
      <c r="B4" t="s">
        <v>26</v>
      </c>
      <c r="C4">
        <v>-10</v>
      </c>
    </row>
    <row r="5" spans="1:3">
      <c r="A5" t="s">
        <v>36</v>
      </c>
      <c r="B5" t="s">
        <v>4</v>
      </c>
      <c r="C5">
        <v>-10</v>
      </c>
    </row>
    <row r="6" spans="1:3">
      <c r="A6" t="s">
        <v>36</v>
      </c>
      <c r="B6" t="s">
        <v>27</v>
      </c>
      <c r="C6">
        <v>-10</v>
      </c>
    </row>
    <row r="7" spans="1:3">
      <c r="A7" t="s">
        <v>36</v>
      </c>
      <c r="B7" t="s">
        <v>25</v>
      </c>
      <c r="C7">
        <v>-10</v>
      </c>
    </row>
    <row r="8" spans="1:3">
      <c r="A8" t="s">
        <v>36</v>
      </c>
      <c r="B8" t="s">
        <v>28</v>
      </c>
      <c r="C8">
        <v>-10</v>
      </c>
    </row>
    <row r="9" spans="1:3">
      <c r="A9" t="s">
        <v>36</v>
      </c>
      <c r="B9" t="s">
        <v>29</v>
      </c>
      <c r="C9">
        <v>-10</v>
      </c>
    </row>
    <row r="10" spans="1:3">
      <c r="A10" t="s">
        <v>35</v>
      </c>
      <c r="B10" t="s">
        <v>26</v>
      </c>
      <c r="C10">
        <v>-6</v>
      </c>
    </row>
    <row r="11" spans="1:3">
      <c r="A11" t="s">
        <v>35</v>
      </c>
      <c r="B11" t="s">
        <v>25</v>
      </c>
      <c r="C11">
        <v>-6</v>
      </c>
    </row>
    <row r="12" spans="1:3">
      <c r="A12" t="s">
        <v>34</v>
      </c>
      <c r="B12" t="s">
        <v>34</v>
      </c>
      <c r="C12">
        <v>-6</v>
      </c>
    </row>
    <row r="13" spans="1:3">
      <c r="A13" t="s">
        <v>33</v>
      </c>
      <c r="B13" t="s">
        <v>34</v>
      </c>
      <c r="C13">
        <v>-6</v>
      </c>
    </row>
    <row r="14" spans="1:3">
      <c r="A14" t="s">
        <v>33</v>
      </c>
      <c r="B14" t="s">
        <v>35</v>
      </c>
      <c r="C14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1"/>
  <sheetViews>
    <sheetView zoomScale="145" zoomScaleNormal="145" zoomScalePageLayoutView="145" workbookViewId="0">
      <selection activeCell="D18" sqref="D18"/>
    </sheetView>
  </sheetViews>
  <sheetFormatPr baseColWidth="10" defaultRowHeight="15" x14ac:dyDescent="0"/>
  <cols>
    <col min="1" max="1" width="27" customWidth="1"/>
    <col min="2" max="3" width="25.83203125" bestFit="1" customWidth="1"/>
    <col min="4" max="4" width="16.83203125" bestFit="1" customWidth="1"/>
    <col min="5" max="5" width="20.6640625" bestFit="1" customWidth="1"/>
  </cols>
  <sheetData>
    <row r="1" spans="1:5">
      <c r="A1" t="s">
        <v>55</v>
      </c>
    </row>
    <row r="2" spans="1:5">
      <c r="A2" t="s">
        <v>9</v>
      </c>
      <c r="B2" t="s">
        <v>10</v>
      </c>
      <c r="C2" t="s">
        <v>0</v>
      </c>
      <c r="D2" s="2" t="s">
        <v>50</v>
      </c>
      <c r="E2" s="2" t="s">
        <v>51</v>
      </c>
    </row>
    <row r="3" spans="1:5">
      <c r="A3" t="s">
        <v>36</v>
      </c>
      <c r="B3" t="s">
        <v>5</v>
      </c>
      <c r="C3" t="s">
        <v>39</v>
      </c>
      <c r="E3">
        <v>1</v>
      </c>
    </row>
    <row r="4" spans="1:5">
      <c r="A4" t="s">
        <v>36</v>
      </c>
      <c r="B4" t="s">
        <v>5</v>
      </c>
      <c r="C4" t="s">
        <v>40</v>
      </c>
      <c r="E4">
        <v>1</v>
      </c>
    </row>
    <row r="5" spans="1:5">
      <c r="A5" t="s">
        <v>36</v>
      </c>
      <c r="B5" t="s">
        <v>26</v>
      </c>
      <c r="C5" t="s">
        <v>41</v>
      </c>
      <c r="E5">
        <v>1</v>
      </c>
    </row>
    <row r="6" spans="1:5">
      <c r="A6" t="s">
        <v>36</v>
      </c>
      <c r="B6" t="s">
        <v>26</v>
      </c>
      <c r="C6" t="s">
        <v>45</v>
      </c>
      <c r="E6">
        <v>1</v>
      </c>
    </row>
    <row r="7" spans="1:5">
      <c r="A7" t="s">
        <v>36</v>
      </c>
      <c r="B7" t="s">
        <v>4</v>
      </c>
      <c r="C7" t="s">
        <v>42</v>
      </c>
      <c r="E7">
        <v>1</v>
      </c>
    </row>
    <row r="8" spans="1:5">
      <c r="A8" t="s">
        <v>36</v>
      </c>
      <c r="B8" t="s">
        <v>4</v>
      </c>
      <c r="C8" t="s">
        <v>46</v>
      </c>
      <c r="E8">
        <v>1</v>
      </c>
    </row>
    <row r="9" spans="1:5">
      <c r="A9" t="s">
        <v>36</v>
      </c>
      <c r="B9" t="s">
        <v>27</v>
      </c>
      <c r="C9" t="s">
        <v>43</v>
      </c>
      <c r="D9" t="s">
        <v>52</v>
      </c>
    </row>
    <row r="10" spans="1:5">
      <c r="A10" t="s">
        <v>36</v>
      </c>
      <c r="B10" t="s">
        <v>28</v>
      </c>
      <c r="C10" t="s">
        <v>44</v>
      </c>
      <c r="D10" t="s">
        <v>53</v>
      </c>
    </row>
    <row r="11" spans="1:5">
      <c r="A11" t="s">
        <v>36</v>
      </c>
      <c r="B11" t="s">
        <v>29</v>
      </c>
      <c r="C11" t="s">
        <v>44</v>
      </c>
      <c r="D11" t="s">
        <v>54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26"/>
  <sheetViews>
    <sheetView zoomScale="175" zoomScaleNormal="175" zoomScalePageLayoutView="175" workbookViewId="0">
      <selection activeCell="A14" sqref="A14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38</v>
      </c>
    </row>
    <row r="2" spans="1:5">
      <c r="A2" t="s">
        <v>9</v>
      </c>
      <c r="B2" t="s">
        <v>10</v>
      </c>
      <c r="C2" t="s">
        <v>21</v>
      </c>
      <c r="D2" t="s">
        <v>22</v>
      </c>
      <c r="E2" t="s">
        <v>19</v>
      </c>
    </row>
    <row r="3" spans="1:5">
      <c r="A3" t="s">
        <v>36</v>
      </c>
      <c r="B3" t="s">
        <v>5</v>
      </c>
      <c r="C3" t="s">
        <v>20</v>
      </c>
      <c r="E3">
        <v>0</v>
      </c>
    </row>
    <row r="4" spans="1:5">
      <c r="A4" t="s">
        <v>36</v>
      </c>
      <c r="B4" t="s">
        <v>26</v>
      </c>
      <c r="C4" t="s">
        <v>20</v>
      </c>
      <c r="E4">
        <v>0</v>
      </c>
    </row>
    <row r="5" spans="1:5">
      <c r="A5" t="s">
        <v>36</v>
      </c>
      <c r="B5" t="s">
        <v>4</v>
      </c>
      <c r="C5" t="s">
        <v>20</v>
      </c>
      <c r="E5">
        <v>0</v>
      </c>
    </row>
    <row r="6" spans="1:5">
      <c r="A6" t="s">
        <v>36</v>
      </c>
      <c r="B6" t="s">
        <v>27</v>
      </c>
      <c r="C6" t="s">
        <v>20</v>
      </c>
      <c r="E6">
        <v>0</v>
      </c>
    </row>
    <row r="7" spans="1:5">
      <c r="A7" t="s">
        <v>36</v>
      </c>
      <c r="B7" t="s">
        <v>25</v>
      </c>
      <c r="C7" t="s">
        <v>20</v>
      </c>
      <c r="E7">
        <v>0</v>
      </c>
    </row>
    <row r="8" spans="1:5">
      <c r="A8" t="s">
        <v>36</v>
      </c>
      <c r="B8" t="s">
        <v>28</v>
      </c>
      <c r="C8" t="s">
        <v>20</v>
      </c>
      <c r="E8">
        <v>0</v>
      </c>
    </row>
    <row r="9" spans="1:5">
      <c r="A9" t="s">
        <v>36</v>
      </c>
      <c r="B9" t="s">
        <v>29</v>
      </c>
      <c r="C9" t="s">
        <v>20</v>
      </c>
      <c r="E9">
        <v>0</v>
      </c>
    </row>
    <row r="10" spans="1:5">
      <c r="A10" t="s">
        <v>35</v>
      </c>
      <c r="B10" t="s">
        <v>26</v>
      </c>
      <c r="C10" t="s">
        <v>20</v>
      </c>
      <c r="E10">
        <v>0</v>
      </c>
    </row>
    <row r="11" spans="1:5">
      <c r="A11" t="s">
        <v>35</v>
      </c>
      <c r="B11" t="s">
        <v>25</v>
      </c>
      <c r="C11" t="s">
        <v>20</v>
      </c>
      <c r="E11">
        <v>0</v>
      </c>
    </row>
    <row r="12" spans="1:5">
      <c r="A12" t="s">
        <v>34</v>
      </c>
      <c r="B12" t="s">
        <v>34</v>
      </c>
      <c r="C12" t="s">
        <v>20</v>
      </c>
      <c r="E12">
        <v>0</v>
      </c>
    </row>
    <row r="13" spans="1:5">
      <c r="A13" t="s">
        <v>33</v>
      </c>
      <c r="B13" t="s">
        <v>34</v>
      </c>
      <c r="C13" t="s">
        <v>20</v>
      </c>
      <c r="E13">
        <v>0</v>
      </c>
    </row>
    <row r="14" spans="1:5">
      <c r="A14" t="s">
        <v>33</v>
      </c>
      <c r="B14" t="s">
        <v>35</v>
      </c>
      <c r="C14" t="s">
        <v>20</v>
      </c>
      <c r="E14">
        <v>0</v>
      </c>
    </row>
    <row r="15" spans="1:5">
      <c r="A15" t="s">
        <v>36</v>
      </c>
      <c r="B15" t="s">
        <v>5</v>
      </c>
      <c r="C15">
        <v>2020</v>
      </c>
      <c r="E15">
        <v>1</v>
      </c>
    </row>
    <row r="16" spans="1:5">
      <c r="A16" t="s">
        <v>36</v>
      </c>
      <c r="B16" t="s">
        <v>26</v>
      </c>
      <c r="C16">
        <v>2020</v>
      </c>
      <c r="E16">
        <v>1</v>
      </c>
    </row>
    <row r="17" spans="1:5">
      <c r="A17" t="s">
        <v>36</v>
      </c>
      <c r="B17" t="s">
        <v>4</v>
      </c>
      <c r="C17">
        <v>2020</v>
      </c>
      <c r="E17">
        <v>1</v>
      </c>
    </row>
    <row r="18" spans="1:5">
      <c r="A18" t="s">
        <v>36</v>
      </c>
      <c r="B18" t="s">
        <v>27</v>
      </c>
      <c r="C18">
        <v>2020</v>
      </c>
      <c r="E18">
        <v>1</v>
      </c>
    </row>
    <row r="19" spans="1:5">
      <c r="A19" t="s">
        <v>36</v>
      </c>
      <c r="B19" t="s">
        <v>25</v>
      </c>
      <c r="C19">
        <v>2020</v>
      </c>
      <c r="E19">
        <v>1</v>
      </c>
    </row>
    <row r="20" spans="1:5">
      <c r="A20" t="s">
        <v>36</v>
      </c>
      <c r="B20" t="s">
        <v>28</v>
      </c>
      <c r="C20">
        <v>2020</v>
      </c>
      <c r="E20">
        <v>1</v>
      </c>
    </row>
    <row r="21" spans="1:5">
      <c r="A21" t="s">
        <v>36</v>
      </c>
      <c r="B21" t="s">
        <v>29</v>
      </c>
      <c r="C21">
        <v>2020</v>
      </c>
      <c r="E21">
        <v>1</v>
      </c>
    </row>
    <row r="22" spans="1:5">
      <c r="A22" t="s">
        <v>35</v>
      </c>
      <c r="B22" t="s">
        <v>26</v>
      </c>
      <c r="C22">
        <v>2020</v>
      </c>
      <c r="E22">
        <v>1</v>
      </c>
    </row>
    <row r="23" spans="1:5">
      <c r="A23" t="s">
        <v>35</v>
      </c>
      <c r="B23" t="s">
        <v>25</v>
      </c>
      <c r="C23">
        <v>2020</v>
      </c>
      <c r="E23">
        <v>1</v>
      </c>
    </row>
    <row r="24" spans="1:5">
      <c r="A24" t="s">
        <v>34</v>
      </c>
      <c r="B24" t="s">
        <v>34</v>
      </c>
      <c r="C24">
        <v>2020</v>
      </c>
      <c r="E24">
        <v>1</v>
      </c>
    </row>
    <row r="25" spans="1:5">
      <c r="A25" t="s">
        <v>33</v>
      </c>
      <c r="B25" t="s">
        <v>34</v>
      </c>
      <c r="C25">
        <v>2020</v>
      </c>
      <c r="E25">
        <v>1</v>
      </c>
    </row>
    <row r="26" spans="1:5">
      <c r="A26" t="s">
        <v>33</v>
      </c>
      <c r="B26" t="s">
        <v>35</v>
      </c>
      <c r="C26">
        <v>2020</v>
      </c>
      <c r="E26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17"/>
  <sheetViews>
    <sheetView zoomScale="145" zoomScaleNormal="145" zoomScalePageLayoutView="145" workbookViewId="0">
      <selection activeCell="A8" sqref="A8"/>
    </sheetView>
  </sheetViews>
  <sheetFormatPr baseColWidth="10" defaultRowHeight="15" x14ac:dyDescent="0"/>
  <cols>
    <col min="1" max="1" width="21.6640625" customWidth="1"/>
    <col min="2" max="2" width="13.33203125" bestFit="1" customWidth="1"/>
    <col min="3" max="3" width="27.6640625" bestFit="1" customWidth="1"/>
    <col min="4" max="4" width="22.83203125" bestFit="1" customWidth="1"/>
    <col min="5" max="12" width="5.83203125" bestFit="1" customWidth="1"/>
  </cols>
  <sheetData>
    <row r="1" spans="1:12">
      <c r="A1" t="s">
        <v>32</v>
      </c>
    </row>
    <row r="2" spans="1:12">
      <c r="A2" t="s">
        <v>9</v>
      </c>
      <c r="B2" t="s">
        <v>10</v>
      </c>
      <c r="C2" t="s">
        <v>0</v>
      </c>
      <c r="D2" t="s">
        <v>23</v>
      </c>
      <c r="E2">
        <v>1971</v>
      </c>
      <c r="F2">
        <v>2020</v>
      </c>
      <c r="G2">
        <v>2035</v>
      </c>
      <c r="H2">
        <v>2050</v>
      </c>
      <c r="I2">
        <v>2065</v>
      </c>
      <c r="J2">
        <v>2080</v>
      </c>
      <c r="K2">
        <v>2095</v>
      </c>
      <c r="L2">
        <v>2100</v>
      </c>
    </row>
    <row r="3" spans="1:12">
      <c r="A3" t="s">
        <v>36</v>
      </c>
      <c r="B3" t="s">
        <v>5</v>
      </c>
      <c r="C3" t="s">
        <v>39</v>
      </c>
      <c r="D3" t="s">
        <v>24</v>
      </c>
      <c r="E3" s="1">
        <v>2.9987769596692626</v>
      </c>
      <c r="F3" s="1">
        <v>2.9987769596692626</v>
      </c>
      <c r="G3" s="1">
        <v>2.7429794964264245</v>
      </c>
      <c r="H3" s="1">
        <v>2.5090017093654011</v>
      </c>
      <c r="I3" s="1">
        <v>2.294982367093811</v>
      </c>
      <c r="J3" s="1">
        <v>2.1295528702910471</v>
      </c>
      <c r="K3" s="1">
        <v>1.9760480482939859</v>
      </c>
      <c r="L3" s="1">
        <v>1.9760480482939859</v>
      </c>
    </row>
    <row r="4" spans="1:12">
      <c r="A4" t="s">
        <v>36</v>
      </c>
      <c r="B4" t="s">
        <v>5</v>
      </c>
      <c r="C4" t="s">
        <v>40</v>
      </c>
      <c r="D4" t="s">
        <v>24</v>
      </c>
      <c r="E4" s="1">
        <v>3.8784556741739284</v>
      </c>
      <c r="F4" s="1">
        <v>3.8784556741739284</v>
      </c>
      <c r="G4" s="1">
        <v>3.5603675004539288</v>
      </c>
      <c r="H4" s="1">
        <v>3.2683670520453894</v>
      </c>
      <c r="I4" s="1">
        <v>3.0003147668138022</v>
      </c>
      <c r="J4" s="1">
        <v>2.784042707716269</v>
      </c>
      <c r="K4" s="1">
        <v>2.5833602141082124</v>
      </c>
      <c r="L4" s="1">
        <v>2.5833602141082124</v>
      </c>
    </row>
    <row r="5" spans="1:12">
      <c r="A5" t="s">
        <v>36</v>
      </c>
      <c r="B5" t="s">
        <v>26</v>
      </c>
      <c r="C5" t="s">
        <v>41</v>
      </c>
      <c r="D5" t="s">
        <v>24</v>
      </c>
      <c r="E5" s="1">
        <f>F5</f>
        <v>1.028633896193955</v>
      </c>
      <c r="F5" s="1">
        <v>1.028633896193955</v>
      </c>
      <c r="G5" s="1">
        <v>0.95489912128989451</v>
      </c>
      <c r="H5" s="1">
        <v>0.88644981972116665</v>
      </c>
      <c r="I5" s="1">
        <v>0.82290711695516638</v>
      </c>
      <c r="J5" s="1">
        <v>0.76358940182792778</v>
      </c>
      <c r="K5" s="1">
        <v>0.70854749287057062</v>
      </c>
      <c r="L5" s="1">
        <v>0.70854749287057062</v>
      </c>
    </row>
    <row r="6" spans="1:12">
      <c r="A6" t="s">
        <v>36</v>
      </c>
      <c r="B6" t="s">
        <v>26</v>
      </c>
      <c r="C6" t="s">
        <v>45</v>
      </c>
      <c r="D6" t="s">
        <v>24</v>
      </c>
      <c r="E6" s="1">
        <f>F6</f>
        <v>1.5794870209317016</v>
      </c>
      <c r="F6" s="1">
        <v>1.5794870209317016</v>
      </c>
      <c r="G6" s="1">
        <v>1.4378511469223008</v>
      </c>
      <c r="H6" s="1">
        <v>1.3089160552178876</v>
      </c>
      <c r="I6" s="1">
        <v>1.1915428403519839</v>
      </c>
      <c r="J6" s="1">
        <v>1.1056527109441585</v>
      </c>
      <c r="K6" s="1">
        <v>1.0259538103196086</v>
      </c>
      <c r="L6" s="1">
        <v>1.0259538103196086</v>
      </c>
    </row>
    <row r="7" spans="1:12">
      <c r="A7" t="s">
        <v>36</v>
      </c>
      <c r="B7" t="s">
        <v>4</v>
      </c>
      <c r="C7" t="s">
        <v>42</v>
      </c>
      <c r="D7" t="s">
        <v>24</v>
      </c>
      <c r="E7" s="1">
        <v>2.9791036337857717</v>
      </c>
      <c r="F7" s="1">
        <v>2.9791036337857717</v>
      </c>
      <c r="G7" s="1">
        <v>2.7249843169747048</v>
      </c>
      <c r="H7" s="1">
        <v>2.4925415294539133</v>
      </c>
      <c r="I7" s="1">
        <v>2.2799262503462416</v>
      </c>
      <c r="J7" s="1">
        <v>2.1155820454625212</v>
      </c>
      <c r="K7" s="1">
        <v>1.9630842841533509</v>
      </c>
      <c r="L7" s="1">
        <v>1.9630842841533509</v>
      </c>
    </row>
    <row r="8" spans="1:12">
      <c r="A8" t="s">
        <v>36</v>
      </c>
      <c r="B8" t="s">
        <v>4</v>
      </c>
      <c r="C8" t="s">
        <v>46</v>
      </c>
      <c r="D8" t="s">
        <v>24</v>
      </c>
      <c r="E8" s="1">
        <v>3.8784556741739284</v>
      </c>
      <c r="F8" s="1">
        <v>3.8784556741739284</v>
      </c>
      <c r="G8" s="1">
        <v>3.5603675004539288</v>
      </c>
      <c r="H8" s="1">
        <v>3.2683670520453894</v>
      </c>
      <c r="I8" s="1">
        <v>3.0003147668138022</v>
      </c>
      <c r="J8" s="1">
        <v>2.784042707716269</v>
      </c>
      <c r="K8" s="1">
        <v>2.5833602141082124</v>
      </c>
      <c r="L8" s="1">
        <v>2.5833602141082124</v>
      </c>
    </row>
    <row r="9" spans="1:12">
      <c r="A9" t="s">
        <v>36</v>
      </c>
      <c r="B9" t="s">
        <v>27</v>
      </c>
      <c r="C9" t="s">
        <v>43</v>
      </c>
      <c r="D9" t="s">
        <v>24</v>
      </c>
      <c r="E9" s="1">
        <v>7</v>
      </c>
      <c r="F9" s="1">
        <v>7</v>
      </c>
      <c r="G9" s="1">
        <v>7</v>
      </c>
      <c r="H9" s="1">
        <v>7</v>
      </c>
      <c r="I9" s="1">
        <v>4.4420000000000002</v>
      </c>
      <c r="J9" s="1">
        <v>4.121806766564216</v>
      </c>
      <c r="K9" s="1">
        <v>3.8246940614350646</v>
      </c>
      <c r="L9" s="1">
        <v>3.8246940614350646</v>
      </c>
    </row>
    <row r="10" spans="1:12">
      <c r="A10" t="s">
        <v>36</v>
      </c>
      <c r="B10" t="s">
        <v>25</v>
      </c>
      <c r="C10" t="s">
        <v>44</v>
      </c>
      <c r="D10" t="s">
        <v>24</v>
      </c>
      <c r="E10" s="1">
        <v>7.3971705321925949</v>
      </c>
      <c r="F10" s="1">
        <v>7.3971705321925949</v>
      </c>
      <c r="G10" s="1">
        <v>6.1108796236130232</v>
      </c>
      <c r="H10" s="1">
        <v>5.0482613063700787</v>
      </c>
      <c r="I10" s="1">
        <v>4.170421246544783</v>
      </c>
      <c r="J10" s="1">
        <v>3.8698042578639034</v>
      </c>
      <c r="K10" s="1">
        <v>3.5908566806263957</v>
      </c>
      <c r="L10" s="1">
        <v>3.5908566806263957</v>
      </c>
    </row>
    <row r="11" spans="1:12">
      <c r="A11" t="s">
        <v>36</v>
      </c>
      <c r="B11" t="s">
        <v>28</v>
      </c>
      <c r="C11" t="s">
        <v>44</v>
      </c>
      <c r="D11" t="s">
        <v>24</v>
      </c>
      <c r="E11" s="1">
        <v>7.3971705321925949</v>
      </c>
      <c r="F11" s="1">
        <v>7.3971705321925949</v>
      </c>
      <c r="G11" s="1">
        <v>7.3971705321925949</v>
      </c>
      <c r="H11" s="1">
        <v>7.3971705321925949</v>
      </c>
      <c r="I11" s="1">
        <v>7.3971705321925949</v>
      </c>
      <c r="J11" s="1">
        <v>6.8639593770870917</v>
      </c>
      <c r="K11" s="1">
        <v>6.3691837473884458</v>
      </c>
      <c r="L11" s="1">
        <v>6.3691837473884458</v>
      </c>
    </row>
    <row r="12" spans="1:12">
      <c r="A12" t="s">
        <v>36</v>
      </c>
      <c r="B12" t="s">
        <v>29</v>
      </c>
      <c r="C12" t="s">
        <v>44</v>
      </c>
      <c r="D12" t="s">
        <v>24</v>
      </c>
      <c r="E12" s="1">
        <v>7.3971705321925949</v>
      </c>
      <c r="F12" s="1">
        <v>7.3971705321925949</v>
      </c>
      <c r="G12" s="1">
        <v>7.3971705321925949</v>
      </c>
      <c r="H12" s="1">
        <v>7.3971705321925949</v>
      </c>
      <c r="I12" s="1">
        <v>7.3971705321925949</v>
      </c>
      <c r="J12" s="1">
        <v>6.8639593770870917</v>
      </c>
      <c r="K12" s="1">
        <v>6.3691837473884458</v>
      </c>
      <c r="L12" s="1">
        <v>6.3691837473884458</v>
      </c>
    </row>
    <row r="13" spans="1:12">
      <c r="A13" t="s">
        <v>35</v>
      </c>
      <c r="B13" t="s">
        <v>26</v>
      </c>
      <c r="C13" t="s">
        <v>41</v>
      </c>
      <c r="D13" t="s">
        <v>24</v>
      </c>
      <c r="E13" s="1">
        <v>6.4640927902898806</v>
      </c>
      <c r="F13" s="1">
        <v>6.4640927902898806</v>
      </c>
      <c r="G13" s="1">
        <v>5.7006884701680267</v>
      </c>
      <c r="H13" s="1">
        <v>5.0274416052201074</v>
      </c>
      <c r="I13" s="1">
        <v>4.4337046702629497</v>
      </c>
      <c r="J13" s="1">
        <v>4.1141093901029251</v>
      </c>
      <c r="K13" s="1">
        <v>3.817551535909864</v>
      </c>
      <c r="L13" s="1">
        <v>3.817551535909864</v>
      </c>
    </row>
    <row r="14" spans="1:12">
      <c r="A14" t="s">
        <v>35</v>
      </c>
      <c r="B14" t="s">
        <v>25</v>
      </c>
      <c r="C14" t="s">
        <v>44</v>
      </c>
      <c r="D14" t="s">
        <v>24</v>
      </c>
      <c r="E14" s="1">
        <v>7.3971705321925949</v>
      </c>
      <c r="F14" s="1">
        <v>7.3971705321925949</v>
      </c>
      <c r="G14" s="1">
        <v>7.3971705321925949</v>
      </c>
      <c r="H14" s="1">
        <v>7.3971705321925949</v>
      </c>
      <c r="I14" s="1">
        <v>7.3971705321925949</v>
      </c>
      <c r="J14" s="1">
        <v>6.8639593770870917</v>
      </c>
      <c r="K14" s="1">
        <v>6.3691837473884458</v>
      </c>
      <c r="L14" s="1">
        <v>6.3691837473884458</v>
      </c>
    </row>
    <row r="15" spans="1:12">
      <c r="A15" t="s">
        <v>34</v>
      </c>
      <c r="B15" t="s">
        <v>34</v>
      </c>
      <c r="C15" t="s">
        <v>34</v>
      </c>
      <c r="D15" t="s">
        <v>24</v>
      </c>
      <c r="E15" s="1">
        <v>6.0706262726200633</v>
      </c>
      <c r="F15" s="1">
        <v>6.0706262726200633</v>
      </c>
      <c r="G15" s="1">
        <v>5.7126780404072157</v>
      </c>
      <c r="H15" s="1">
        <v>5.375835857420654</v>
      </c>
      <c r="I15" s="1">
        <v>5.0588552271833631</v>
      </c>
      <c r="J15" s="1">
        <v>4.6941971423847679</v>
      </c>
      <c r="K15" s="1">
        <v>4.3558247512534773</v>
      </c>
      <c r="L15" s="1">
        <v>4.3558247512534773</v>
      </c>
    </row>
    <row r="16" spans="1:12">
      <c r="A16" t="s">
        <v>33</v>
      </c>
      <c r="B16" t="s">
        <v>34</v>
      </c>
      <c r="C16" t="s">
        <v>34</v>
      </c>
      <c r="D16" t="s">
        <v>24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>
      <c r="A17" t="s">
        <v>33</v>
      </c>
      <c r="B17" t="s">
        <v>35</v>
      </c>
      <c r="C17" t="s">
        <v>35</v>
      </c>
      <c r="D17" t="s">
        <v>24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17"/>
  <sheetViews>
    <sheetView zoomScale="145" zoomScaleNormal="145" zoomScalePageLayoutView="145" workbookViewId="0">
      <selection activeCell="D11" sqref="D11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7.6640625" bestFit="1" customWidth="1"/>
    <col min="4" max="4" width="21" bestFit="1" customWidth="1"/>
    <col min="5" max="5" width="5.83203125" bestFit="1" customWidth="1"/>
  </cols>
  <sheetData>
    <row r="1" spans="1:12">
      <c r="A1" t="s">
        <v>47</v>
      </c>
    </row>
    <row r="2" spans="1:12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2020</v>
      </c>
      <c r="G2">
        <v>2035</v>
      </c>
      <c r="H2">
        <v>2050</v>
      </c>
      <c r="I2">
        <v>2065</v>
      </c>
      <c r="J2">
        <v>2080</v>
      </c>
      <c r="K2">
        <v>2095</v>
      </c>
      <c r="L2">
        <v>2100</v>
      </c>
    </row>
    <row r="3" spans="1:12">
      <c r="A3" t="s">
        <v>36</v>
      </c>
      <c r="B3" t="s">
        <v>5</v>
      </c>
      <c r="C3" t="s">
        <v>39</v>
      </c>
      <c r="D3" t="s">
        <v>3</v>
      </c>
      <c r="E3" s="1">
        <v>0.64</v>
      </c>
      <c r="F3" s="1">
        <v>0.64</v>
      </c>
      <c r="G3" s="1">
        <v>0.65970456262860888</v>
      </c>
      <c r="H3" s="1">
        <v>0.68001579680156909</v>
      </c>
      <c r="I3" s="1">
        <v>0.70095238095238144</v>
      </c>
      <c r="J3" s="1">
        <v>0.71154058655890751</v>
      </c>
      <c r="K3" s="1">
        <v>0.72228873184323839</v>
      </c>
      <c r="L3" s="1">
        <v>0.72228873184323839</v>
      </c>
    </row>
    <row r="4" spans="1:12">
      <c r="A4" t="s">
        <v>36</v>
      </c>
      <c r="B4" t="s">
        <v>5</v>
      </c>
      <c r="C4" t="s">
        <v>40</v>
      </c>
      <c r="D4" t="s">
        <v>3</v>
      </c>
      <c r="E4" s="1">
        <v>0.58632209354139575</v>
      </c>
      <c r="F4" s="1">
        <v>0.58632209354139575</v>
      </c>
      <c r="G4" s="1">
        <v>0.60437400043627632</v>
      </c>
      <c r="H4" s="1">
        <v>0.62298169628424427</v>
      </c>
      <c r="I4" s="1">
        <v>0.64216229292629101</v>
      </c>
      <c r="J4" s="1">
        <v>0.65186244742326782</v>
      </c>
      <c r="K4" s="1">
        <v>0.66170912718076158</v>
      </c>
      <c r="L4" s="1">
        <v>0.66170912718076158</v>
      </c>
    </row>
    <row r="5" spans="1:12">
      <c r="A5" t="s">
        <v>36</v>
      </c>
      <c r="B5" t="s">
        <v>26</v>
      </c>
      <c r="C5" t="s">
        <v>41</v>
      </c>
      <c r="D5" t="s">
        <v>2</v>
      </c>
      <c r="E5" s="1">
        <v>0.70320142516332207</v>
      </c>
      <c r="F5" s="1">
        <v>0.70320142516332207</v>
      </c>
      <c r="G5" s="1">
        <v>0.71548689719143022</v>
      </c>
      <c r="H5" s="1">
        <v>0.72798700590477872</v>
      </c>
      <c r="I5" s="1">
        <v>0.74070550117203737</v>
      </c>
      <c r="J5" s="1">
        <v>0.7518941958015336</v>
      </c>
      <c r="K5" s="1">
        <v>0.76325190076957072</v>
      </c>
      <c r="L5" s="1">
        <v>0.76325190076957072</v>
      </c>
    </row>
    <row r="6" spans="1:12">
      <c r="A6" t="s">
        <v>36</v>
      </c>
      <c r="B6" t="s">
        <v>26</v>
      </c>
      <c r="C6" t="s">
        <v>45</v>
      </c>
      <c r="D6" t="s">
        <v>2</v>
      </c>
      <c r="E6" s="1">
        <v>0.65634580728606018</v>
      </c>
      <c r="F6" s="1">
        <v>0.65634580728606018</v>
      </c>
      <c r="G6" s="1">
        <v>0.67255838797808964</v>
      </c>
      <c r="H6" s="1">
        <v>0.68917144014381126</v>
      </c>
      <c r="I6" s="1">
        <v>0.70619485594069753</v>
      </c>
      <c r="J6" s="1">
        <v>0.71686225152442007</v>
      </c>
      <c r="K6" s="1">
        <v>0.72769078298669276</v>
      </c>
      <c r="L6" s="1">
        <v>0.72769078298669276</v>
      </c>
    </row>
    <row r="7" spans="1:12">
      <c r="A7" t="s">
        <v>36</v>
      </c>
      <c r="B7" t="s">
        <v>4</v>
      </c>
      <c r="C7" t="s">
        <v>42</v>
      </c>
      <c r="D7" t="s">
        <v>7</v>
      </c>
      <c r="E7" s="1">
        <v>0.45139547235273764</v>
      </c>
      <c r="F7" s="1">
        <v>0.45139547235273764</v>
      </c>
      <c r="G7" s="1">
        <v>0.46529320728280799</v>
      </c>
      <c r="H7" s="1">
        <v>0.47961883094463675</v>
      </c>
      <c r="I7" s="1">
        <v>0.494385517338713</v>
      </c>
      <c r="J7" s="1">
        <v>0.50185343619984701</v>
      </c>
      <c r="K7" s="1">
        <v>0.50943416138349762</v>
      </c>
      <c r="L7" s="1">
        <v>0.50943416138349762</v>
      </c>
    </row>
    <row r="8" spans="1:12">
      <c r="A8" t="s">
        <v>36</v>
      </c>
      <c r="B8" t="s">
        <v>4</v>
      </c>
      <c r="C8" t="s">
        <v>46</v>
      </c>
      <c r="D8" t="s">
        <v>7</v>
      </c>
      <c r="E8" s="1">
        <v>0.45139547235273764</v>
      </c>
      <c r="F8" s="1">
        <v>0.45139547235273764</v>
      </c>
      <c r="G8" s="1">
        <v>0.46529320728280799</v>
      </c>
      <c r="H8" s="1">
        <v>0.47961883094463675</v>
      </c>
      <c r="I8" s="1">
        <v>0.494385517338713</v>
      </c>
      <c r="J8" s="1">
        <v>0.50185343619984701</v>
      </c>
      <c r="K8" s="1">
        <v>0.50943416138349762</v>
      </c>
      <c r="L8" s="1">
        <v>0.50943416138349762</v>
      </c>
    </row>
    <row r="9" spans="1:12">
      <c r="A9" t="s">
        <v>36</v>
      </c>
      <c r="B9" t="s">
        <v>27</v>
      </c>
      <c r="C9" t="s">
        <v>43</v>
      </c>
      <c r="D9" t="s">
        <v>8</v>
      </c>
      <c r="E9" s="1">
        <v>0.85</v>
      </c>
      <c r="F9" s="1">
        <v>0.85</v>
      </c>
      <c r="G9" s="1">
        <v>0.85</v>
      </c>
      <c r="H9" s="1">
        <v>0.85</v>
      </c>
      <c r="I9" s="1">
        <v>0.85</v>
      </c>
      <c r="J9" s="1">
        <v>0.86283963791280505</v>
      </c>
      <c r="K9" s="1">
        <v>0.875873224415883</v>
      </c>
      <c r="L9" s="1">
        <v>0.875873224415883</v>
      </c>
    </row>
    <row r="10" spans="1:12">
      <c r="A10" t="s">
        <v>36</v>
      </c>
      <c r="B10" t="s">
        <v>25</v>
      </c>
      <c r="C10" t="s">
        <v>44</v>
      </c>
      <c r="D10" t="s">
        <v>17</v>
      </c>
      <c r="E10" s="1">
        <v>0.626</v>
      </c>
      <c r="F10" s="1">
        <v>0.626</v>
      </c>
      <c r="G10" s="1">
        <v>0.65356843736598569</v>
      </c>
      <c r="H10" s="1">
        <v>0.68235096217414748</v>
      </c>
      <c r="I10" s="1">
        <v>0.71240104166666829</v>
      </c>
      <c r="J10" s="1">
        <v>0.72316218451808612</v>
      </c>
      <c r="K10" s="1">
        <v>0.73408587934331593</v>
      </c>
      <c r="L10" s="1">
        <v>0.73408587934331593</v>
      </c>
    </row>
    <row r="11" spans="1:12">
      <c r="A11" t="s">
        <v>36</v>
      </c>
      <c r="B11" t="s">
        <v>28</v>
      </c>
      <c r="C11" t="s">
        <v>44</v>
      </c>
      <c r="D11" t="s">
        <v>30</v>
      </c>
      <c r="E11" s="1">
        <v>0.626</v>
      </c>
      <c r="F11" s="1">
        <v>0.626</v>
      </c>
      <c r="G11" s="1">
        <v>0.65356843736598569</v>
      </c>
      <c r="H11" s="1">
        <v>0.68235096217414748</v>
      </c>
      <c r="I11" s="1">
        <v>0.71240104166666829</v>
      </c>
      <c r="J11" s="1">
        <v>0.72316218451808612</v>
      </c>
      <c r="K11" s="1">
        <v>0.73408587934331593</v>
      </c>
      <c r="L11" s="1">
        <v>0.73408587934331593</v>
      </c>
    </row>
    <row r="12" spans="1:12">
      <c r="A12" t="s">
        <v>36</v>
      </c>
      <c r="B12" t="s">
        <v>29</v>
      </c>
      <c r="C12" t="s">
        <v>44</v>
      </c>
      <c r="D12" t="s">
        <v>31</v>
      </c>
      <c r="E12" s="1">
        <v>0.626</v>
      </c>
      <c r="F12" s="1">
        <v>0.626</v>
      </c>
      <c r="G12" s="1">
        <v>0.65356843736598569</v>
      </c>
      <c r="H12" s="1">
        <v>0.68235096217414748</v>
      </c>
      <c r="I12" s="1">
        <v>0.71240104166666829</v>
      </c>
      <c r="J12" s="1">
        <v>0.72316218451808612</v>
      </c>
      <c r="K12" s="1">
        <v>0.73408587934331593</v>
      </c>
      <c r="L12" s="1">
        <v>0.73408587934331593</v>
      </c>
    </row>
    <row r="13" spans="1:12">
      <c r="A13" t="s">
        <v>35</v>
      </c>
      <c r="B13" t="s">
        <v>26</v>
      </c>
      <c r="C13" t="s">
        <v>41</v>
      </c>
      <c r="D13" t="s">
        <v>6</v>
      </c>
      <c r="E13" s="1">
        <v>0.56129029594578084</v>
      </c>
      <c r="F13" s="1">
        <v>0.56129029594578084</v>
      </c>
      <c r="G13" s="1">
        <v>0.58737288683313515</v>
      </c>
      <c r="H13" s="1">
        <v>0.61466750927049296</v>
      </c>
      <c r="I13" s="1">
        <v>0.64323048513494652</v>
      </c>
      <c r="J13" s="1">
        <v>0.65294677516272381</v>
      </c>
      <c r="K13" s="1">
        <v>0.66280983418557449</v>
      </c>
      <c r="L13" s="1">
        <v>0.66280983418557449</v>
      </c>
    </row>
    <row r="14" spans="1:12">
      <c r="A14" t="s">
        <v>35</v>
      </c>
      <c r="B14" t="s">
        <v>25</v>
      </c>
      <c r="C14" t="s">
        <v>44</v>
      </c>
      <c r="D14" t="s">
        <v>18</v>
      </c>
      <c r="E14" s="1">
        <v>0.60072521033874338</v>
      </c>
      <c r="F14" s="1">
        <v>0.60072521033874338</v>
      </c>
      <c r="G14" s="1">
        <v>0.62718057029943375</v>
      </c>
      <c r="H14" s="1">
        <v>0.65480099884490195</v>
      </c>
      <c r="I14" s="1">
        <v>0.68363780447404021</v>
      </c>
      <c r="J14" s="1">
        <v>0.69396446550104218</v>
      </c>
      <c r="K14" s="1">
        <v>0.70444711545561478</v>
      </c>
      <c r="L14" s="1">
        <v>0.70444711545561478</v>
      </c>
    </row>
    <row r="15" spans="1:12">
      <c r="A15" t="s">
        <v>34</v>
      </c>
      <c r="B15" t="s">
        <v>34</v>
      </c>
      <c r="C15" t="s">
        <v>34</v>
      </c>
      <c r="D15" t="s">
        <v>36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1</v>
      </c>
      <c r="L15" s="1">
        <v>1</v>
      </c>
    </row>
    <row r="16" spans="1:12">
      <c r="A16" t="s">
        <v>33</v>
      </c>
      <c r="B16" t="s">
        <v>34</v>
      </c>
      <c r="C16" t="s">
        <v>34</v>
      </c>
      <c r="D16" t="s">
        <v>34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</row>
    <row r="17" spans="1:12">
      <c r="A17" t="s">
        <v>33</v>
      </c>
      <c r="B17" t="s">
        <v>35</v>
      </c>
      <c r="C17" t="s">
        <v>35</v>
      </c>
      <c r="D17" t="s">
        <v>35</v>
      </c>
      <c r="E17" s="1">
        <v>1</v>
      </c>
      <c r="F17" s="1">
        <v>1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17"/>
  <sheetViews>
    <sheetView zoomScale="145" zoomScaleNormal="145" zoomScalePageLayoutView="145" workbookViewId="0">
      <selection activeCell="B33" sqref="B33"/>
    </sheetView>
  </sheetViews>
  <sheetFormatPr baseColWidth="10" defaultRowHeight="15" x14ac:dyDescent="0"/>
  <cols>
    <col min="1" max="1" width="27" customWidth="1"/>
    <col min="2" max="3" width="25.83203125" bestFit="1" customWidth="1"/>
    <col min="4" max="5" width="6" customWidth="1"/>
  </cols>
  <sheetData>
    <row r="1" spans="1:5">
      <c r="A1" t="s">
        <v>48</v>
      </c>
    </row>
    <row r="2" spans="1:5">
      <c r="A2" t="s">
        <v>9</v>
      </c>
      <c r="B2" t="s">
        <v>10</v>
      </c>
      <c r="C2" t="s">
        <v>0</v>
      </c>
      <c r="D2">
        <v>1971</v>
      </c>
      <c r="E2">
        <v>2100</v>
      </c>
    </row>
    <row r="3" spans="1:5">
      <c r="A3" t="s">
        <v>36</v>
      </c>
      <c r="B3" t="s">
        <v>5</v>
      </c>
      <c r="C3" t="s">
        <v>39</v>
      </c>
      <c r="D3">
        <v>1</v>
      </c>
      <c r="E3">
        <v>1</v>
      </c>
    </row>
    <row r="4" spans="1:5">
      <c r="A4" t="s">
        <v>36</v>
      </c>
      <c r="B4" t="s">
        <v>5</v>
      </c>
      <c r="C4" t="s">
        <v>40</v>
      </c>
      <c r="D4">
        <v>1</v>
      </c>
      <c r="E4">
        <v>1</v>
      </c>
    </row>
    <row r="5" spans="1:5">
      <c r="A5" t="s">
        <v>36</v>
      </c>
      <c r="B5" t="s">
        <v>26</v>
      </c>
      <c r="C5" t="s">
        <v>41</v>
      </c>
      <c r="D5">
        <v>1</v>
      </c>
      <c r="E5">
        <v>1</v>
      </c>
    </row>
    <row r="6" spans="1:5">
      <c r="A6" t="s">
        <v>36</v>
      </c>
      <c r="B6" t="s">
        <v>26</v>
      </c>
      <c r="C6" t="s">
        <v>45</v>
      </c>
      <c r="D6">
        <v>1</v>
      </c>
      <c r="E6">
        <v>1</v>
      </c>
    </row>
    <row r="7" spans="1:5">
      <c r="A7" t="s">
        <v>36</v>
      </c>
      <c r="B7" t="s">
        <v>4</v>
      </c>
      <c r="C7" t="s">
        <v>42</v>
      </c>
      <c r="D7">
        <v>1</v>
      </c>
      <c r="E7">
        <v>1</v>
      </c>
    </row>
    <row r="8" spans="1:5">
      <c r="A8" t="s">
        <v>36</v>
      </c>
      <c r="B8" t="s">
        <v>4</v>
      </c>
      <c r="C8" t="s">
        <v>46</v>
      </c>
      <c r="D8">
        <v>1</v>
      </c>
      <c r="E8">
        <v>1</v>
      </c>
    </row>
    <row r="9" spans="1:5">
      <c r="A9" t="s">
        <v>36</v>
      </c>
      <c r="B9" t="s">
        <v>27</v>
      </c>
      <c r="C9" t="s">
        <v>43</v>
      </c>
      <c r="D9">
        <v>1</v>
      </c>
      <c r="E9">
        <v>1</v>
      </c>
    </row>
    <row r="10" spans="1:5">
      <c r="A10" t="s">
        <v>36</v>
      </c>
      <c r="B10" t="s">
        <v>25</v>
      </c>
      <c r="C10" t="s">
        <v>44</v>
      </c>
      <c r="D10">
        <v>1</v>
      </c>
      <c r="E10">
        <v>1</v>
      </c>
    </row>
    <row r="11" spans="1:5">
      <c r="A11" t="s">
        <v>36</v>
      </c>
      <c r="B11" t="s">
        <v>28</v>
      </c>
      <c r="C11" t="s">
        <v>44</v>
      </c>
      <c r="D11">
        <v>1</v>
      </c>
      <c r="E11">
        <v>1</v>
      </c>
    </row>
    <row r="12" spans="1:5">
      <c r="A12" t="s">
        <v>36</v>
      </c>
      <c r="B12" t="s">
        <v>29</v>
      </c>
      <c r="C12" t="s">
        <v>44</v>
      </c>
      <c r="D12">
        <v>1</v>
      </c>
      <c r="E12">
        <v>1</v>
      </c>
    </row>
    <row r="13" spans="1:5">
      <c r="A13" t="s">
        <v>35</v>
      </c>
      <c r="B13" t="s">
        <v>26</v>
      </c>
      <c r="C13" t="s">
        <v>41</v>
      </c>
      <c r="D13">
        <v>1</v>
      </c>
      <c r="E13">
        <v>1</v>
      </c>
    </row>
    <row r="14" spans="1:5">
      <c r="A14" t="s">
        <v>35</v>
      </c>
      <c r="B14" t="s">
        <v>25</v>
      </c>
      <c r="C14" t="s">
        <v>44</v>
      </c>
      <c r="D14">
        <v>1</v>
      </c>
      <c r="E14">
        <v>1</v>
      </c>
    </row>
    <row r="15" spans="1:5">
      <c r="A15" t="s">
        <v>34</v>
      </c>
      <c r="B15" t="s">
        <v>34</v>
      </c>
      <c r="C15" t="s">
        <v>34</v>
      </c>
      <c r="D15">
        <v>1</v>
      </c>
      <c r="E15">
        <v>1</v>
      </c>
    </row>
    <row r="16" spans="1:5">
      <c r="A16" t="s">
        <v>33</v>
      </c>
      <c r="B16" t="s">
        <v>34</v>
      </c>
      <c r="C16" t="s">
        <v>34</v>
      </c>
      <c r="D16">
        <v>1</v>
      </c>
      <c r="E16">
        <v>1</v>
      </c>
    </row>
    <row r="17" spans="1:5">
      <c r="A17" t="s">
        <v>33</v>
      </c>
      <c r="B17" t="s">
        <v>35</v>
      </c>
      <c r="C17" t="s">
        <v>35</v>
      </c>
      <c r="D17">
        <v>1</v>
      </c>
      <c r="E1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I5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49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36</v>
      </c>
      <c r="B3" t="s">
        <v>5</v>
      </c>
      <c r="C3" t="s">
        <v>40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36</v>
      </c>
      <c r="B4" t="s">
        <v>26</v>
      </c>
      <c r="C4" t="s">
        <v>45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36</v>
      </c>
      <c r="B5" t="s">
        <v>4</v>
      </c>
      <c r="C5" t="s">
        <v>46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A25.sector.csv</vt:lpstr>
      <vt:lpstr>A25.subsector_logit.csv</vt:lpstr>
      <vt:lpstr>A25.globaltech_keyword.csv</vt:lpstr>
      <vt:lpstr>A25.subsector_shrwt.csv</vt:lpstr>
      <vt:lpstr>A25.globaltech_cost.csv</vt:lpstr>
      <vt:lpstr>A25.globaltech_eff.csv</vt:lpstr>
      <vt:lpstr>A25.globaltech_shrwt.csv</vt:lpstr>
      <vt:lpstr>A25.globaltech_co2capture.csv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2013-10-08T00:44:29Z</dcterms:modified>
</cp:coreProperties>
</file>