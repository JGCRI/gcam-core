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0" yWindow="0" windowWidth="25600" windowHeight="15900" tabRatio="684" firstSheet="12" activeTab="14"/>
  </bookViews>
  <sheets>
    <sheet name="A23.sector.csv" sheetId="35" r:id="rId1"/>
    <sheet name="A23.subsector_logit.csv" sheetId="37" r:id="rId2"/>
    <sheet name="A23.subsector_shrwt.csv" sheetId="38" r:id="rId3"/>
    <sheet name="A23.subsector_interp.csv" sheetId="39" r:id="rId4"/>
    <sheet name="A23.chp_elecratio.csv" sheetId="42" r:id="rId5"/>
    <sheet name="A23.globalinttech.csv" sheetId="49" r:id="rId6"/>
    <sheet name="A23.globaltech_shrwt.csv" sheetId="45" r:id="rId7"/>
    <sheet name="A23.globaltech_keyword.csv" sheetId="69" r:id="rId8"/>
    <sheet name="A23.globaltech_eff.csv" sheetId="43" r:id="rId9"/>
    <sheet name="A23.globaltech_capital.csv" sheetId="46" r:id="rId10"/>
    <sheet name="A23.globaltech_OMfixed.csv" sheetId="47" r:id="rId11"/>
    <sheet name="A23.globaltech_OMvar.csv" sheetId="44" r:id="rId12"/>
    <sheet name="A23.globaltech_retirement.csv" sheetId="48" r:id="rId13"/>
    <sheet name="A23.globaltech_co2capture.csv" sheetId="50" r:id="rId14"/>
    <sheet name="A23.subsector_shrwt_renew_R.csv" sheetId="70" r:id="rId15"/>
    <sheet name="A23.subsector_shrwt_nuc_R.csv" sheetId="71" r:id="rId1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7" i="46" l="1"/>
  <c r="G17" i="46"/>
  <c r="H18" i="46"/>
  <c r="G18" i="46"/>
  <c r="H19" i="46"/>
  <c r="G19" i="46"/>
  <c r="H20" i="46"/>
  <c r="G20" i="46"/>
  <c r="H21" i="46"/>
  <c r="G21" i="46"/>
  <c r="H22" i="46"/>
  <c r="G22" i="46"/>
  <c r="G3" i="48"/>
  <c r="G4" i="48"/>
  <c r="G5" i="48"/>
  <c r="G6" i="48"/>
  <c r="G7" i="48"/>
  <c r="G8" i="48"/>
  <c r="N18" i="44"/>
  <c r="N17" i="44"/>
  <c r="N16" i="44"/>
  <c r="N15" i="44"/>
  <c r="N14" i="44"/>
  <c r="N11" i="44"/>
  <c r="N10" i="44"/>
  <c r="N9" i="44"/>
  <c r="N6" i="44"/>
  <c r="N8" i="44"/>
  <c r="N7" i="44"/>
  <c r="N13" i="44"/>
  <c r="N12" i="44"/>
  <c r="N5" i="44"/>
  <c r="N4" i="44"/>
  <c r="N3" i="44"/>
  <c r="O6" i="47"/>
  <c r="O7" i="47"/>
  <c r="O8" i="47"/>
  <c r="O9" i="47"/>
  <c r="O10" i="47"/>
  <c r="O11" i="47"/>
  <c r="O12" i="47"/>
  <c r="O13" i="47"/>
  <c r="O14" i="47"/>
  <c r="O16" i="47"/>
  <c r="O17" i="47"/>
  <c r="O18" i="47"/>
  <c r="O19" i="47"/>
  <c r="O20" i="47"/>
  <c r="O21" i="47"/>
  <c r="O22" i="47"/>
  <c r="O5" i="47"/>
  <c r="O4" i="47"/>
  <c r="O3" i="47"/>
</calcChain>
</file>

<file path=xl/sharedStrings.xml><?xml version="1.0" encoding="utf-8"?>
<sst xmlns="http://schemas.openxmlformats.org/spreadsheetml/2006/main" count="1082" uniqueCount="133">
  <si>
    <t>technology</t>
  </si>
  <si>
    <t>minicam.energy.input</t>
  </si>
  <si>
    <t>regional coal</t>
  </si>
  <si>
    <t>biomass</t>
  </si>
  <si>
    <t>coal</t>
  </si>
  <si>
    <t>nuclearFuelGenII</t>
  </si>
  <si>
    <t>regional biomass</t>
  </si>
  <si>
    <t>wholesale gas</t>
  </si>
  <si>
    <t>nuclearFuelGenIII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</si>
  <si>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</si>
  <si>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</si>
  <si>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</si>
  <si>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</si>
  <si>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</si>
  <si>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</si>
  <si>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</si>
  <si>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</si>
  <si>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elect_td_bld</t>
  </si>
  <si>
    <t>share.weight</t>
  </si>
  <si>
    <t>from.year</t>
  </si>
  <si>
    <t>to.year</t>
  </si>
  <si>
    <t>interpolation.function</t>
  </si>
  <si>
    <t>fixed</t>
  </si>
  <si>
    <t>linear</t>
  </si>
  <si>
    <t>start-year</t>
  </si>
  <si>
    <t>final-calibration-year</t>
  </si>
  <si>
    <t>end-year</t>
  </si>
  <si>
    <t>apply.to</t>
  </si>
  <si>
    <t>share-weight</t>
  </si>
  <si>
    <t>initial-future-year</t>
  </si>
  <si>
    <t>year.fillout</t>
  </si>
  <si>
    <t>year</t>
  </si>
  <si>
    <t>minicam.non.energy.input</t>
  </si>
  <si>
    <t>to.value</t>
  </si>
  <si>
    <t>lifetime</t>
  </si>
  <si>
    <t>refined liquids industrial</t>
  </si>
  <si>
    <t>shutdown.rate</t>
  </si>
  <si>
    <t>half.life</t>
  </si>
  <si>
    <t>steepness</t>
  </si>
  <si>
    <t>profit.shutdown</t>
  </si>
  <si>
    <t>electricity</t>
  </si>
  <si>
    <t>rooftop_pv</t>
  </si>
  <si>
    <t># Electricity sector - supplysector characteristics</t>
  </si>
  <si>
    <t>gas</t>
  </si>
  <si>
    <t>refined liquids</t>
  </si>
  <si>
    <t>nuclear</t>
  </si>
  <si>
    <t>hydro</t>
  </si>
  <si>
    <t>wind</t>
  </si>
  <si>
    <t>solar</t>
  </si>
  <si>
    <t>geothermal</t>
  </si>
  <si>
    <t>fuel</t>
  </si>
  <si>
    <t>elec_ratio</t>
  </si>
  <si>
    <t>coal (conv pul)</t>
  </si>
  <si>
    <t>coal (IGCC)</t>
  </si>
  <si>
    <t>gas (CC)</t>
  </si>
  <si>
    <t>coal (IGCC CCS)</t>
  </si>
  <si>
    <t>gas (steam/CT)</t>
  </si>
  <si>
    <t>gas (CC CCS)</t>
  </si>
  <si>
    <t>refined liquids (steam/CT)</t>
  </si>
  <si>
    <t>refined liquids (IGCC)</t>
  </si>
  <si>
    <t>refined liquids (IGCC CCS)</t>
  </si>
  <si>
    <t>biomass (conv)</t>
  </si>
  <si>
    <t>biomass (IGCC)</t>
  </si>
  <si>
    <t>biomass (IGCC CCS)</t>
  </si>
  <si>
    <t>Gen_II_LWR</t>
  </si>
  <si>
    <t>Gen_III</t>
  </si>
  <si>
    <t>wind_storage</t>
  </si>
  <si>
    <t>PV</t>
  </si>
  <si>
    <t>PV_storage</t>
  </si>
  <si>
    <t>CSP</t>
  </si>
  <si>
    <t>CSP_storage</t>
  </si>
  <si>
    <t>onshore wind resource</t>
  </si>
  <si>
    <t>global solar resource</t>
  </si>
  <si>
    <t># Electric sector default efficiencies</t>
  </si>
  <si>
    <t>backup_electricity</t>
  </si>
  <si>
    <t>csp_backup</t>
  </si>
  <si>
    <t># Electric sector subsector logit exponents</t>
  </si>
  <si>
    <t>distributed_solar</t>
  </si>
  <si>
    <t>input-capital</t>
  </si>
  <si>
    <t>capital</t>
  </si>
  <si>
    <t># Electricity technology capital costs</t>
  </si>
  <si>
    <t>OM-fixed</t>
  </si>
  <si>
    <t>input.OM.fixed</t>
  </si>
  <si>
    <t>input.OM.var</t>
  </si>
  <si>
    <t>OM-var</t>
  </si>
  <si>
    <t>electric.sector.name</t>
  </si>
  <si>
    <t>trial.market.name</t>
  </si>
  <si>
    <t>renewable</t>
  </si>
  <si>
    <t>backup.capital.cost</t>
  </si>
  <si>
    <t>backup.capacity.factor</t>
  </si>
  <si>
    <t># Electricity sector intermittent technology information</t>
  </si>
  <si>
    <t>capacity.limit</t>
  </si>
  <si>
    <t># Electricity technology capture fractions</t>
  </si>
  <si>
    <t># Electricity technology retirement parameters</t>
  </si>
  <si>
    <t># Electricity technology shareweights</t>
  </si>
  <si>
    <t>fixed.charge.rate</t>
  </si>
  <si>
    <t>capacity.factor</t>
  </si>
  <si>
    <t>electricity.reserve.margin</t>
  </si>
  <si>
    <t>average.grid.capacity.factor</t>
  </si>
  <si>
    <t>backup-cap-cost</t>
  </si>
  <si>
    <t>primary.renewable</t>
  </si>
  <si>
    <t>average.fossil.efficiency</t>
  </si>
  <si>
    <t>nuclear-elect</t>
  </si>
  <si>
    <t>hydro-elect</t>
  </si>
  <si>
    <t>wind-elect</t>
  </si>
  <si>
    <t>solar-elect</t>
  </si>
  <si>
    <t>geothermal-elect</t>
  </si>
  <si>
    <t># Renewables tuned by region to match near term trends (see proposal 91).</t>
  </si>
  <si>
    <t>region_GCAM3</t>
  </si>
  <si>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</si>
  <si>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</si>
  <si>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</si>
  <si>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</si>
  <si>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</si>
  <si>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</si>
  <si>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</si>
  <si>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</si>
  <si>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</si>
  <si>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</si>
  <si>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</si>
  <si>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</si>
  <si>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</si>
  <si>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</si>
  <si>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hydrogen</t>
  </si>
  <si>
    <t>final-historical-year</t>
  </si>
  <si>
    <t>initial-nonhistorical-year</t>
  </si>
  <si>
    <t># Assumed CHP electricity output per unit fuel input</t>
  </si>
  <si>
    <t># Electricity subsector logit exponents</t>
  </si>
  <si>
    <t># Electricity subsector shareweight interpolation</t>
  </si>
  <si>
    <t># Electricity technology fixed operations and maintenance costs</t>
  </si>
  <si>
    <t># Electricity technology variable operations and maintenance costs</t>
  </si>
  <si>
    <t>#Region-specific nuclear electric subsector shareweights by GCAM3 region</t>
  </si>
  <si>
    <t>#Region-specific renewable electric subsector shareweights by GCAM3 region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</si>
</sst>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3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1" fontId="0" fillId="0" borderId="0" xfId="0" applyNumberFormat="1"/>
    <xf numFmtId="2" fontId="0" fillId="0" borderId="0" xfId="0" applyNumberFormat="1"/>
  </cellXfs>
  <cellStyles count="17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4"/>
  <sheetViews>
    <sheetView zoomScale="160" zoomScaleNormal="160" zoomScalePageLayoutView="160" workbookViewId="0">
      <selection activeCell="A7" sqref="A7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1.1640625" bestFit="1" customWidth="1"/>
  </cols>
  <sheetData>
    <row r="1" spans="1:7">
      <c r="A1" t="s">
        <v>42</v>
      </c>
    </row>
    <row r="2" spans="1:7">
      <c r="A2" t="s">
        <v>9</v>
      </c>
      <c r="B2" t="s">
        <v>13</v>
      </c>
      <c r="C2" t="s">
        <v>12</v>
      </c>
      <c r="D2" t="s">
        <v>14</v>
      </c>
      <c r="E2" t="s">
        <v>11</v>
      </c>
      <c r="F2" t="s">
        <v>97</v>
      </c>
      <c r="G2" t="s">
        <v>98</v>
      </c>
    </row>
    <row r="3" spans="1:7">
      <c r="A3" t="s">
        <v>40</v>
      </c>
      <c r="B3" t="s">
        <v>15</v>
      </c>
      <c r="C3" t="s">
        <v>15</v>
      </c>
      <c r="D3" t="s">
        <v>16</v>
      </c>
      <c r="E3">
        <v>-3</v>
      </c>
      <c r="F3">
        <v>0.15</v>
      </c>
      <c r="G3">
        <v>0.6</v>
      </c>
    </row>
    <row r="4" spans="1:7">
      <c r="A4" t="s">
        <v>17</v>
      </c>
      <c r="B4" t="s">
        <v>15</v>
      </c>
      <c r="C4" t="s">
        <v>15</v>
      </c>
      <c r="D4" t="s">
        <v>16</v>
      </c>
      <c r="E4">
        <v>-3</v>
      </c>
      <c r="F4">
        <v>0.15</v>
      </c>
      <c r="G4">
        <v>0.6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12"/>
  <sheetViews>
    <sheetView zoomScale="175" zoomScaleNormal="175" zoomScalePageLayoutView="175" workbookViewId="0">
      <selection activeCell="A8" sqref="A8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3">
      <c r="A1" t="s">
        <v>76</v>
      </c>
    </row>
    <row r="2" spans="1:3">
      <c r="A2" t="s">
        <v>9</v>
      </c>
      <c r="B2" t="s">
        <v>10</v>
      </c>
      <c r="C2" t="s">
        <v>11</v>
      </c>
    </row>
    <row r="3" spans="1:3">
      <c r="A3" t="s">
        <v>40</v>
      </c>
      <c r="B3" t="s">
        <v>4</v>
      </c>
      <c r="C3">
        <v>-10</v>
      </c>
    </row>
    <row r="4" spans="1:3">
      <c r="A4" t="s">
        <v>40</v>
      </c>
      <c r="B4" t="s">
        <v>43</v>
      </c>
      <c r="C4">
        <v>-10</v>
      </c>
    </row>
    <row r="5" spans="1:3">
      <c r="A5" t="s">
        <v>40</v>
      </c>
      <c r="B5" t="s">
        <v>44</v>
      </c>
      <c r="C5">
        <v>-10</v>
      </c>
    </row>
    <row r="6" spans="1:3">
      <c r="A6" t="s">
        <v>40</v>
      </c>
      <c r="B6" t="s">
        <v>3</v>
      </c>
      <c r="C6">
        <v>-10</v>
      </c>
    </row>
    <row r="7" spans="1:3">
      <c r="A7" t="s">
        <v>40</v>
      </c>
      <c r="B7" t="s">
        <v>45</v>
      </c>
      <c r="C7">
        <v>-6</v>
      </c>
    </row>
    <row r="8" spans="1:3">
      <c r="A8" t="s">
        <v>40</v>
      </c>
      <c r="B8" t="s">
        <v>46</v>
      </c>
      <c r="C8">
        <v>-6</v>
      </c>
    </row>
    <row r="9" spans="1:3">
      <c r="A9" t="s">
        <v>40</v>
      </c>
      <c r="B9" t="s">
        <v>47</v>
      </c>
      <c r="C9">
        <v>-6</v>
      </c>
    </row>
    <row r="10" spans="1:3">
      <c r="A10" t="s">
        <v>40</v>
      </c>
      <c r="B10" t="s">
        <v>48</v>
      </c>
      <c r="C10">
        <v>-6</v>
      </c>
    </row>
    <row r="11" spans="1:3">
      <c r="A11" t="s">
        <v>40</v>
      </c>
      <c r="B11" t="s">
        <v>49</v>
      </c>
      <c r="C11">
        <v>-6</v>
      </c>
    </row>
    <row r="12" spans="1:3">
      <c r="A12" t="s">
        <v>17</v>
      </c>
      <c r="B12" t="s">
        <v>41</v>
      </c>
      <c r="C12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13"/>
  <sheetViews>
    <sheetView zoomScale="175" zoomScaleNormal="175" zoomScalePageLayoutView="175" workbookViewId="0"/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customWidth="1"/>
    <col min="5" max="5" width="19" bestFit="1" customWidth="1"/>
    <col min="6" max="6" width="9.33203125" bestFit="1" customWidth="1"/>
    <col min="7" max="7" width="19.1640625" bestFit="1" customWidth="1"/>
  </cols>
  <sheetData>
    <row r="1" spans="1:5">
      <c r="A1" t="s">
        <v>127</v>
      </c>
    </row>
    <row r="2" spans="1:5">
      <c r="A2" t="s">
        <v>9</v>
      </c>
      <c r="B2" t="s">
        <v>10</v>
      </c>
      <c r="C2" t="s">
        <v>30</v>
      </c>
      <c r="D2" t="s">
        <v>31</v>
      </c>
      <c r="E2" t="s">
        <v>18</v>
      </c>
    </row>
    <row r="3" spans="1:5">
      <c r="A3" t="s">
        <v>40</v>
      </c>
      <c r="B3" t="s">
        <v>4</v>
      </c>
      <c r="C3" t="s">
        <v>24</v>
      </c>
      <c r="E3">
        <v>1</v>
      </c>
    </row>
    <row r="4" spans="1:5">
      <c r="A4" t="s">
        <v>40</v>
      </c>
      <c r="B4" t="s">
        <v>43</v>
      </c>
      <c r="C4" t="s">
        <v>24</v>
      </c>
      <c r="E4">
        <v>1</v>
      </c>
    </row>
    <row r="5" spans="1:5">
      <c r="A5" t="s">
        <v>40</v>
      </c>
      <c r="B5" t="s">
        <v>44</v>
      </c>
      <c r="C5" t="s">
        <v>24</v>
      </c>
      <c r="E5">
        <v>1</v>
      </c>
    </row>
    <row r="6" spans="1:5">
      <c r="A6" t="s">
        <v>40</v>
      </c>
      <c r="B6" t="s">
        <v>3</v>
      </c>
      <c r="C6">
        <v>2065</v>
      </c>
      <c r="E6">
        <v>0.5</v>
      </c>
    </row>
    <row r="7" spans="1:5">
      <c r="A7" t="s">
        <v>40</v>
      </c>
      <c r="B7" t="s">
        <v>45</v>
      </c>
      <c r="C7" t="s">
        <v>24</v>
      </c>
      <c r="E7">
        <v>0</v>
      </c>
    </row>
    <row r="8" spans="1:5">
      <c r="A8" t="s">
        <v>40</v>
      </c>
      <c r="B8" t="s">
        <v>46</v>
      </c>
      <c r="C8" t="s">
        <v>24</v>
      </c>
      <c r="E8">
        <v>0</v>
      </c>
    </row>
    <row r="9" spans="1:5">
      <c r="A9" t="s">
        <v>40</v>
      </c>
      <c r="B9" t="s">
        <v>47</v>
      </c>
      <c r="C9">
        <v>2065</v>
      </c>
      <c r="E9">
        <v>0.5</v>
      </c>
    </row>
    <row r="10" spans="1:5">
      <c r="A10" t="s">
        <v>40</v>
      </c>
      <c r="B10" t="s">
        <v>48</v>
      </c>
      <c r="C10">
        <v>2065</v>
      </c>
      <c r="E10">
        <v>0.5</v>
      </c>
    </row>
    <row r="11" spans="1:5">
      <c r="A11" t="s">
        <v>40</v>
      </c>
      <c r="B11" t="s">
        <v>49</v>
      </c>
      <c r="C11">
        <v>2065</v>
      </c>
      <c r="E11">
        <v>0.5</v>
      </c>
    </row>
    <row r="12" spans="1:5">
      <c r="A12" t="s">
        <v>17</v>
      </c>
      <c r="B12" t="s">
        <v>41</v>
      </c>
      <c r="C12" t="s">
        <v>24</v>
      </c>
      <c r="E12">
        <v>0</v>
      </c>
    </row>
    <row r="13" spans="1:5">
      <c r="A13" t="s">
        <v>17</v>
      </c>
      <c r="B13" t="s">
        <v>41</v>
      </c>
      <c r="C13">
        <v>2020</v>
      </c>
      <c r="E13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G16"/>
  <sheetViews>
    <sheetView zoomScale="175" zoomScaleNormal="175" zoomScalePageLayoutView="175" workbookViewId="0"/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8.16406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7">
      <c r="A1" t="s">
        <v>128</v>
      </c>
    </row>
    <row r="2" spans="1:7">
      <c r="A2" t="s">
        <v>9</v>
      </c>
      <c r="B2" t="s">
        <v>10</v>
      </c>
      <c r="C2" t="s">
        <v>27</v>
      </c>
      <c r="D2" t="s">
        <v>19</v>
      </c>
      <c r="E2" t="s">
        <v>20</v>
      </c>
      <c r="F2" t="s">
        <v>33</v>
      </c>
      <c r="G2" t="s">
        <v>21</v>
      </c>
    </row>
    <row r="3" spans="1:7">
      <c r="A3" t="s">
        <v>40</v>
      </c>
      <c r="B3" t="s">
        <v>4</v>
      </c>
      <c r="C3" t="s">
        <v>28</v>
      </c>
      <c r="D3" t="s">
        <v>25</v>
      </c>
      <c r="E3" t="s">
        <v>26</v>
      </c>
      <c r="G3" t="s">
        <v>22</v>
      </c>
    </row>
    <row r="4" spans="1:7">
      <c r="A4" t="s">
        <v>40</v>
      </c>
      <c r="B4" t="s">
        <v>43</v>
      </c>
      <c r="C4" t="s">
        <v>28</v>
      </c>
      <c r="D4" t="s">
        <v>25</v>
      </c>
      <c r="E4" t="s">
        <v>26</v>
      </c>
      <c r="G4" t="s">
        <v>22</v>
      </c>
    </row>
    <row r="5" spans="1:7">
      <c r="A5" t="s">
        <v>40</v>
      </c>
      <c r="B5" t="s">
        <v>44</v>
      </c>
      <c r="C5" t="s">
        <v>28</v>
      </c>
      <c r="D5" t="s">
        <v>25</v>
      </c>
      <c r="E5" t="s">
        <v>26</v>
      </c>
      <c r="G5" t="s">
        <v>22</v>
      </c>
    </row>
    <row r="6" spans="1:7">
      <c r="A6" t="s">
        <v>40</v>
      </c>
      <c r="B6" t="s">
        <v>3</v>
      </c>
      <c r="C6" t="s">
        <v>28</v>
      </c>
      <c r="D6" t="s">
        <v>25</v>
      </c>
      <c r="E6">
        <v>2020</v>
      </c>
      <c r="G6" t="s">
        <v>23</v>
      </c>
    </row>
    <row r="7" spans="1:7">
      <c r="A7" t="s">
        <v>40</v>
      </c>
      <c r="B7" t="s">
        <v>3</v>
      </c>
      <c r="C7" t="s">
        <v>28</v>
      </c>
      <c r="D7">
        <v>2020</v>
      </c>
      <c r="E7">
        <v>2065</v>
      </c>
      <c r="G7" t="s">
        <v>23</v>
      </c>
    </row>
    <row r="8" spans="1:7">
      <c r="A8" t="s">
        <v>40</v>
      </c>
      <c r="B8" t="s">
        <v>45</v>
      </c>
      <c r="C8" t="s">
        <v>28</v>
      </c>
      <c r="D8" t="s">
        <v>25</v>
      </c>
      <c r="E8">
        <v>2020</v>
      </c>
      <c r="G8" t="s">
        <v>23</v>
      </c>
    </row>
    <row r="9" spans="1:7">
      <c r="A9" t="s">
        <v>40</v>
      </c>
      <c r="B9" t="s">
        <v>45</v>
      </c>
      <c r="C9" t="s">
        <v>28</v>
      </c>
      <c r="D9">
        <v>2065</v>
      </c>
      <c r="E9" t="s">
        <v>26</v>
      </c>
      <c r="G9" t="s">
        <v>22</v>
      </c>
    </row>
    <row r="10" spans="1:7">
      <c r="A10" t="s">
        <v>40</v>
      </c>
      <c r="B10" t="s">
        <v>47</v>
      </c>
      <c r="C10" t="s">
        <v>28</v>
      </c>
      <c r="D10" t="s">
        <v>25</v>
      </c>
      <c r="E10">
        <v>2020</v>
      </c>
      <c r="G10" t="s">
        <v>23</v>
      </c>
    </row>
    <row r="11" spans="1:7">
      <c r="A11" t="s">
        <v>40</v>
      </c>
      <c r="B11" t="s">
        <v>47</v>
      </c>
      <c r="C11" t="s">
        <v>28</v>
      </c>
      <c r="D11">
        <v>2020</v>
      </c>
      <c r="E11">
        <v>2065</v>
      </c>
      <c r="G11" t="s">
        <v>23</v>
      </c>
    </row>
    <row r="12" spans="1:7">
      <c r="A12" t="s">
        <v>40</v>
      </c>
      <c r="B12" t="s">
        <v>48</v>
      </c>
      <c r="C12" t="s">
        <v>28</v>
      </c>
      <c r="D12" t="s">
        <v>25</v>
      </c>
      <c r="E12">
        <v>2020</v>
      </c>
      <c r="G12" t="s">
        <v>23</v>
      </c>
    </row>
    <row r="13" spans="1:7">
      <c r="A13" t="s">
        <v>40</v>
      </c>
      <c r="B13" t="s">
        <v>48</v>
      </c>
      <c r="C13" t="s">
        <v>28</v>
      </c>
      <c r="D13">
        <v>2020</v>
      </c>
      <c r="E13">
        <v>2065</v>
      </c>
      <c r="G13" t="s">
        <v>23</v>
      </c>
    </row>
    <row r="14" spans="1:7">
      <c r="A14" t="s">
        <v>40</v>
      </c>
      <c r="B14" t="s">
        <v>49</v>
      </c>
      <c r="C14" t="s">
        <v>28</v>
      </c>
      <c r="D14" t="s">
        <v>25</v>
      </c>
      <c r="E14">
        <v>2020</v>
      </c>
      <c r="G14" t="s">
        <v>23</v>
      </c>
    </row>
    <row r="15" spans="1:7">
      <c r="A15" t="s">
        <v>40</v>
      </c>
      <c r="B15" t="s">
        <v>49</v>
      </c>
      <c r="C15" t="s">
        <v>28</v>
      </c>
      <c r="D15">
        <v>2020</v>
      </c>
      <c r="E15">
        <v>2065</v>
      </c>
      <c r="G15" t="s">
        <v>23</v>
      </c>
    </row>
    <row r="16" spans="1:7">
      <c r="A16" t="s">
        <v>17</v>
      </c>
      <c r="B16" t="s">
        <v>41</v>
      </c>
      <c r="C16" t="s">
        <v>28</v>
      </c>
      <c r="D16" t="s">
        <v>25</v>
      </c>
      <c r="E16">
        <v>2020</v>
      </c>
      <c r="G16" t="s">
        <v>23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7"/>
  <sheetViews>
    <sheetView workbookViewId="0">
      <selection activeCell="A2" sqref="A2"/>
    </sheetView>
  </sheetViews>
  <sheetFormatPr baseColWidth="10" defaultRowHeight="15" x14ac:dyDescent="0"/>
  <cols>
    <col min="1" max="1" width="12.83203125" bestFit="1" customWidth="1"/>
  </cols>
  <sheetData>
    <row r="1" spans="1:2">
      <c r="A1" t="s">
        <v>126</v>
      </c>
    </row>
    <row r="2" spans="1:2">
      <c r="A2" t="s">
        <v>50</v>
      </c>
      <c r="B2" t="s">
        <v>51</v>
      </c>
    </row>
    <row r="3" spans="1:2">
      <c r="A3" t="s">
        <v>3</v>
      </c>
      <c r="B3">
        <v>0.2</v>
      </c>
    </row>
    <row r="4" spans="1:2">
      <c r="A4" t="s">
        <v>4</v>
      </c>
      <c r="B4">
        <v>0.25</v>
      </c>
    </row>
    <row r="5" spans="1:2">
      <c r="A5" t="s">
        <v>43</v>
      </c>
      <c r="B5">
        <v>0.25</v>
      </c>
    </row>
    <row r="6" spans="1:2">
      <c r="A6" t="s">
        <v>44</v>
      </c>
      <c r="B6">
        <v>0.25</v>
      </c>
    </row>
    <row r="7" spans="1:2">
      <c r="A7" t="s">
        <v>123</v>
      </c>
      <c r="B7">
        <v>0.5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J6"/>
  <sheetViews>
    <sheetView zoomScale="115" zoomScaleNormal="115" zoomScalePageLayoutView="115" workbookViewId="0">
      <selection activeCell="H6" sqref="H6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10.33203125" bestFit="1" customWidth="1"/>
    <col min="4" max="4" width="17.83203125" bestFit="1" customWidth="1"/>
    <col min="5" max="5" width="16" bestFit="1" customWidth="1"/>
    <col min="6" max="6" width="16.83203125" bestFit="1" customWidth="1"/>
    <col min="7" max="7" width="19.6640625" bestFit="1" customWidth="1"/>
    <col min="8" max="8" width="12.1640625" bestFit="1" customWidth="1"/>
  </cols>
  <sheetData>
    <row r="1" spans="1:10">
      <c r="A1" t="s">
        <v>90</v>
      </c>
    </row>
    <row r="2" spans="1:10">
      <c r="A2" t="s">
        <v>9</v>
      </c>
      <c r="B2" t="s">
        <v>10</v>
      </c>
      <c r="C2" t="s">
        <v>0</v>
      </c>
      <c r="D2" t="s">
        <v>85</v>
      </c>
      <c r="E2" t="s">
        <v>86</v>
      </c>
      <c r="F2" t="s">
        <v>88</v>
      </c>
      <c r="G2" t="s">
        <v>89</v>
      </c>
      <c r="H2" t="s">
        <v>91</v>
      </c>
      <c r="I2" t="s">
        <v>1</v>
      </c>
      <c r="J2" t="s">
        <v>32</v>
      </c>
    </row>
    <row r="3" spans="1:10">
      <c r="A3" t="s">
        <v>40</v>
      </c>
      <c r="B3" t="s">
        <v>47</v>
      </c>
      <c r="C3" t="s">
        <v>47</v>
      </c>
      <c r="D3" t="s">
        <v>40</v>
      </c>
      <c r="E3" t="s">
        <v>87</v>
      </c>
      <c r="F3">
        <v>30</v>
      </c>
      <c r="G3">
        <v>0.05</v>
      </c>
      <c r="H3">
        <v>0.25</v>
      </c>
      <c r="I3" t="s">
        <v>74</v>
      </c>
      <c r="J3" t="s">
        <v>99</v>
      </c>
    </row>
    <row r="4" spans="1:10">
      <c r="A4" t="s">
        <v>40</v>
      </c>
      <c r="B4" t="s">
        <v>48</v>
      </c>
      <c r="C4" t="s">
        <v>67</v>
      </c>
      <c r="D4" t="s">
        <v>40</v>
      </c>
      <c r="E4" t="s">
        <v>87</v>
      </c>
      <c r="F4">
        <v>30</v>
      </c>
      <c r="G4">
        <v>0.05</v>
      </c>
      <c r="H4">
        <v>0.25</v>
      </c>
      <c r="I4" t="s">
        <v>74</v>
      </c>
      <c r="J4" t="s">
        <v>99</v>
      </c>
    </row>
    <row r="5" spans="1:10">
      <c r="A5" t="s">
        <v>40</v>
      </c>
      <c r="B5" t="s">
        <v>48</v>
      </c>
      <c r="C5" t="s">
        <v>69</v>
      </c>
      <c r="D5" t="s">
        <v>40</v>
      </c>
      <c r="E5" t="s">
        <v>87</v>
      </c>
      <c r="F5">
        <v>30</v>
      </c>
      <c r="G5">
        <v>0.05</v>
      </c>
      <c r="H5">
        <v>0.25</v>
      </c>
      <c r="I5" t="s">
        <v>75</v>
      </c>
      <c r="J5" t="s">
        <v>99</v>
      </c>
    </row>
    <row r="6" spans="1:10">
      <c r="A6" t="s">
        <v>17</v>
      </c>
      <c r="B6" t="s">
        <v>41</v>
      </c>
      <c r="C6" t="s">
        <v>41</v>
      </c>
      <c r="D6" t="s">
        <v>40</v>
      </c>
      <c r="E6" t="s">
        <v>87</v>
      </c>
      <c r="F6">
        <v>30</v>
      </c>
      <c r="G6">
        <v>0.05</v>
      </c>
      <c r="H6">
        <v>0.25</v>
      </c>
      <c r="I6" t="s">
        <v>74</v>
      </c>
      <c r="J6" t="s">
        <v>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K25"/>
  <sheetViews>
    <sheetView zoomScale="115" zoomScaleNormal="115" zoomScalePageLayoutView="115" workbookViewId="0">
      <selection activeCell="F15" sqref="F15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5" width="5.1640625" bestFit="1" customWidth="1"/>
    <col min="6" max="6" width="5.1640625" customWidth="1"/>
    <col min="7" max="10" width="5.1640625" bestFit="1" customWidth="1"/>
  </cols>
  <sheetData>
    <row r="1" spans="1:11">
      <c r="A1" t="s">
        <v>94</v>
      </c>
    </row>
    <row r="2" spans="1:11">
      <c r="A2" t="s">
        <v>9</v>
      </c>
      <c r="B2" t="s">
        <v>10</v>
      </c>
      <c r="C2" t="s">
        <v>0</v>
      </c>
      <c r="D2">
        <v>1971</v>
      </c>
      <c r="E2">
        <v>2010</v>
      </c>
      <c r="F2">
        <v>2015</v>
      </c>
      <c r="G2">
        <v>2019</v>
      </c>
      <c r="H2">
        <v>2020</v>
      </c>
      <c r="I2">
        <v>2035</v>
      </c>
      <c r="J2">
        <v>2050</v>
      </c>
      <c r="K2">
        <v>2100</v>
      </c>
    </row>
    <row r="3" spans="1:11">
      <c r="A3" t="s">
        <v>40</v>
      </c>
      <c r="B3" t="s">
        <v>4</v>
      </c>
      <c r="C3" t="s">
        <v>52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</row>
    <row r="4" spans="1:11">
      <c r="A4" t="s">
        <v>40</v>
      </c>
      <c r="B4" t="s">
        <v>4</v>
      </c>
      <c r="C4" t="s">
        <v>53</v>
      </c>
      <c r="D4">
        <v>0</v>
      </c>
      <c r="E4">
        <v>0</v>
      </c>
      <c r="F4">
        <v>0</v>
      </c>
      <c r="G4">
        <v>0</v>
      </c>
      <c r="H4">
        <v>1</v>
      </c>
      <c r="I4">
        <v>1</v>
      </c>
      <c r="J4">
        <v>1</v>
      </c>
      <c r="K4">
        <v>1</v>
      </c>
    </row>
    <row r="5" spans="1:11">
      <c r="A5" t="s">
        <v>40</v>
      </c>
      <c r="B5" t="s">
        <v>4</v>
      </c>
      <c r="C5" t="s">
        <v>55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</row>
    <row r="6" spans="1:11">
      <c r="A6" t="s">
        <v>40</v>
      </c>
      <c r="B6" t="s">
        <v>43</v>
      </c>
      <c r="C6" t="s">
        <v>56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</row>
    <row r="7" spans="1:11">
      <c r="A7" t="s">
        <v>40</v>
      </c>
      <c r="B7" t="s">
        <v>43</v>
      </c>
      <c r="C7" t="s">
        <v>54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</row>
    <row r="8" spans="1:11">
      <c r="A8" t="s">
        <v>40</v>
      </c>
      <c r="B8" t="s">
        <v>43</v>
      </c>
      <c r="C8" t="s">
        <v>57</v>
      </c>
      <c r="D8">
        <v>0</v>
      </c>
      <c r="E8">
        <v>0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</row>
    <row r="9" spans="1:11">
      <c r="A9" t="s">
        <v>40</v>
      </c>
      <c r="B9" t="s">
        <v>44</v>
      </c>
      <c r="C9" t="s">
        <v>58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</row>
    <row r="10" spans="1:11">
      <c r="A10" t="s">
        <v>40</v>
      </c>
      <c r="B10" t="s">
        <v>44</v>
      </c>
      <c r="C10" t="s">
        <v>59</v>
      </c>
      <c r="D10">
        <v>0</v>
      </c>
      <c r="E10">
        <v>0</v>
      </c>
      <c r="F10">
        <v>0</v>
      </c>
      <c r="G10">
        <v>0</v>
      </c>
      <c r="H10">
        <v>1</v>
      </c>
      <c r="I10">
        <v>1</v>
      </c>
      <c r="J10">
        <v>1</v>
      </c>
      <c r="K10">
        <v>1</v>
      </c>
    </row>
    <row r="11" spans="1:11">
      <c r="A11" t="s">
        <v>40</v>
      </c>
      <c r="B11" t="s">
        <v>44</v>
      </c>
      <c r="C11" t="s">
        <v>60</v>
      </c>
      <c r="D11">
        <v>0</v>
      </c>
      <c r="E11">
        <v>0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</row>
    <row r="12" spans="1:11">
      <c r="A12" t="s">
        <v>40</v>
      </c>
      <c r="B12" t="s">
        <v>3</v>
      </c>
      <c r="C12" t="s">
        <v>61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</row>
    <row r="13" spans="1:11">
      <c r="A13" t="s">
        <v>40</v>
      </c>
      <c r="B13" t="s">
        <v>3</v>
      </c>
      <c r="C13" t="s">
        <v>62</v>
      </c>
      <c r="D13">
        <v>0</v>
      </c>
      <c r="E13">
        <v>0</v>
      </c>
      <c r="F13">
        <v>0</v>
      </c>
      <c r="G13">
        <v>0</v>
      </c>
      <c r="H13">
        <v>1</v>
      </c>
      <c r="I13">
        <v>1</v>
      </c>
      <c r="J13">
        <v>1</v>
      </c>
      <c r="K13">
        <v>1</v>
      </c>
    </row>
    <row r="14" spans="1:11">
      <c r="A14" t="s">
        <v>40</v>
      </c>
      <c r="B14" t="s">
        <v>3</v>
      </c>
      <c r="C14" t="s">
        <v>63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J14">
        <v>1</v>
      </c>
      <c r="K14">
        <v>1</v>
      </c>
    </row>
    <row r="15" spans="1:11">
      <c r="A15" t="s">
        <v>40</v>
      </c>
      <c r="B15" t="s">
        <v>45</v>
      </c>
      <c r="C15" t="s">
        <v>64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>
      <c r="A16" t="s">
        <v>40</v>
      </c>
      <c r="B16" t="s">
        <v>45</v>
      </c>
      <c r="C16" t="s">
        <v>65</v>
      </c>
      <c r="D16">
        <v>0</v>
      </c>
      <c r="E16">
        <v>0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</row>
    <row r="17" spans="1:11">
      <c r="A17" t="s">
        <v>40</v>
      </c>
      <c r="B17" t="s">
        <v>46</v>
      </c>
      <c r="C17" t="s">
        <v>46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>
      <c r="A18" t="s">
        <v>40</v>
      </c>
      <c r="B18" t="s">
        <v>47</v>
      </c>
      <c r="C18" t="s">
        <v>47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</row>
    <row r="19" spans="1:11">
      <c r="A19" t="s">
        <v>40</v>
      </c>
      <c r="B19" t="s">
        <v>47</v>
      </c>
      <c r="C19" t="s">
        <v>66</v>
      </c>
      <c r="D19">
        <v>0</v>
      </c>
      <c r="E19">
        <v>0</v>
      </c>
      <c r="F19">
        <v>0</v>
      </c>
      <c r="G19">
        <v>0</v>
      </c>
      <c r="H19">
        <v>1</v>
      </c>
      <c r="I19">
        <v>1</v>
      </c>
      <c r="J19">
        <v>1</v>
      </c>
      <c r="K19">
        <v>1</v>
      </c>
    </row>
    <row r="20" spans="1:11">
      <c r="A20" t="s">
        <v>40</v>
      </c>
      <c r="B20" t="s">
        <v>48</v>
      </c>
      <c r="C20" t="s">
        <v>67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</row>
    <row r="21" spans="1:11">
      <c r="A21" t="s">
        <v>40</v>
      </c>
      <c r="B21" t="s">
        <v>48</v>
      </c>
      <c r="C21" t="s">
        <v>68</v>
      </c>
      <c r="D21">
        <v>0</v>
      </c>
      <c r="E21">
        <v>0</v>
      </c>
      <c r="F21">
        <v>0</v>
      </c>
      <c r="G21">
        <v>0</v>
      </c>
      <c r="H21">
        <v>1</v>
      </c>
      <c r="I21">
        <v>1</v>
      </c>
      <c r="J21">
        <v>1</v>
      </c>
      <c r="K21">
        <v>1</v>
      </c>
    </row>
    <row r="22" spans="1:11">
      <c r="A22" t="s">
        <v>40</v>
      </c>
      <c r="B22" t="s">
        <v>48</v>
      </c>
      <c r="C22" t="s">
        <v>69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</row>
    <row r="23" spans="1:11">
      <c r="A23" t="s">
        <v>40</v>
      </c>
      <c r="B23" t="s">
        <v>48</v>
      </c>
      <c r="C23" t="s">
        <v>70</v>
      </c>
      <c r="D23">
        <v>0</v>
      </c>
      <c r="E23">
        <v>0</v>
      </c>
      <c r="F23">
        <v>0</v>
      </c>
      <c r="G23">
        <v>0</v>
      </c>
      <c r="H23">
        <v>0.1</v>
      </c>
      <c r="I23">
        <v>0.9</v>
      </c>
      <c r="J23">
        <v>1</v>
      </c>
      <c r="K23">
        <v>1</v>
      </c>
    </row>
    <row r="24" spans="1:11">
      <c r="A24" t="s">
        <v>40</v>
      </c>
      <c r="B24" t="s">
        <v>49</v>
      </c>
      <c r="C24" t="s">
        <v>49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</row>
    <row r="25" spans="1:11">
      <c r="A25" t="s">
        <v>17</v>
      </c>
      <c r="B25" t="s">
        <v>41</v>
      </c>
      <c r="C25" t="s">
        <v>41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E25"/>
  <sheetViews>
    <sheetView zoomScale="115" zoomScaleNormal="115" zoomScalePageLayoutView="115" workbookViewId="0">
      <selection activeCell="F13" sqref="F13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4" width="16.83203125" bestFit="1" customWidth="1"/>
  </cols>
  <sheetData>
    <row r="1" spans="1:5">
      <c r="A1" t="s">
        <v>94</v>
      </c>
    </row>
    <row r="2" spans="1:5">
      <c r="A2" t="s">
        <v>9</v>
      </c>
      <c r="B2" t="s">
        <v>10</v>
      </c>
      <c r="C2" t="s">
        <v>0</v>
      </c>
      <c r="D2" t="s">
        <v>100</v>
      </c>
      <c r="E2" t="s">
        <v>101</v>
      </c>
    </row>
    <row r="3" spans="1:5">
      <c r="A3" t="s">
        <v>40</v>
      </c>
      <c r="B3" t="s">
        <v>4</v>
      </c>
      <c r="C3" t="s">
        <v>52</v>
      </c>
      <c r="E3">
        <v>1</v>
      </c>
    </row>
    <row r="4" spans="1:5">
      <c r="A4" t="s">
        <v>40</v>
      </c>
      <c r="B4" t="s">
        <v>4</v>
      </c>
      <c r="C4" t="s">
        <v>53</v>
      </c>
      <c r="E4">
        <v>1</v>
      </c>
    </row>
    <row r="5" spans="1:5">
      <c r="A5" t="s">
        <v>40</v>
      </c>
      <c r="B5" t="s">
        <v>4</v>
      </c>
      <c r="C5" t="s">
        <v>55</v>
      </c>
      <c r="E5">
        <v>1</v>
      </c>
    </row>
    <row r="6" spans="1:5">
      <c r="A6" t="s">
        <v>40</v>
      </c>
      <c r="B6" t="s">
        <v>43</v>
      </c>
      <c r="C6" t="s">
        <v>56</v>
      </c>
      <c r="E6">
        <v>1</v>
      </c>
    </row>
    <row r="7" spans="1:5">
      <c r="A7" t="s">
        <v>40</v>
      </c>
      <c r="B7" t="s">
        <v>43</v>
      </c>
      <c r="C7" t="s">
        <v>54</v>
      </c>
      <c r="E7">
        <v>1</v>
      </c>
    </row>
    <row r="8" spans="1:5">
      <c r="A8" t="s">
        <v>40</v>
      </c>
      <c r="B8" t="s">
        <v>43</v>
      </c>
      <c r="C8" t="s">
        <v>57</v>
      </c>
      <c r="E8">
        <v>1</v>
      </c>
    </row>
    <row r="9" spans="1:5">
      <c r="A9" t="s">
        <v>40</v>
      </c>
      <c r="B9" t="s">
        <v>44</v>
      </c>
      <c r="C9" t="s">
        <v>58</v>
      </c>
      <c r="E9">
        <v>1</v>
      </c>
    </row>
    <row r="10" spans="1:5">
      <c r="A10" t="s">
        <v>40</v>
      </c>
      <c r="B10" t="s">
        <v>44</v>
      </c>
      <c r="C10" t="s">
        <v>59</v>
      </c>
      <c r="E10">
        <v>1</v>
      </c>
    </row>
    <row r="11" spans="1:5">
      <c r="A11" t="s">
        <v>40</v>
      </c>
      <c r="B11" t="s">
        <v>44</v>
      </c>
      <c r="C11" t="s">
        <v>60</v>
      </c>
      <c r="E11">
        <v>1</v>
      </c>
    </row>
    <row r="12" spans="1:5">
      <c r="A12" t="s">
        <v>40</v>
      </c>
      <c r="B12" t="s">
        <v>3</v>
      </c>
      <c r="C12" t="s">
        <v>61</v>
      </c>
      <c r="E12">
        <v>1</v>
      </c>
    </row>
    <row r="13" spans="1:5">
      <c r="A13" t="s">
        <v>40</v>
      </c>
      <c r="B13" t="s">
        <v>3</v>
      </c>
      <c r="C13" t="s">
        <v>62</v>
      </c>
      <c r="E13">
        <v>1</v>
      </c>
    </row>
    <row r="14" spans="1:5">
      <c r="A14" t="s">
        <v>40</v>
      </c>
      <c r="B14" t="s">
        <v>3</v>
      </c>
      <c r="C14" t="s">
        <v>63</v>
      </c>
      <c r="E14">
        <v>1</v>
      </c>
    </row>
    <row r="15" spans="1:5">
      <c r="A15" t="s">
        <v>40</v>
      </c>
      <c r="B15" t="s">
        <v>45</v>
      </c>
      <c r="C15" t="s">
        <v>64</v>
      </c>
      <c r="D15" t="s">
        <v>102</v>
      </c>
    </row>
    <row r="16" spans="1:5">
      <c r="A16" t="s">
        <v>40</v>
      </c>
      <c r="B16" t="s">
        <v>45</v>
      </c>
      <c r="C16" t="s">
        <v>65</v>
      </c>
      <c r="D16" t="s">
        <v>102</v>
      </c>
    </row>
    <row r="17" spans="1:4">
      <c r="A17" t="s">
        <v>40</v>
      </c>
      <c r="B17" t="s">
        <v>46</v>
      </c>
      <c r="C17" t="s">
        <v>46</v>
      </c>
      <c r="D17" t="s">
        <v>103</v>
      </c>
    </row>
    <row r="18" spans="1:4">
      <c r="A18" t="s">
        <v>40</v>
      </c>
      <c r="B18" t="s">
        <v>47</v>
      </c>
      <c r="C18" t="s">
        <v>47</v>
      </c>
      <c r="D18" t="s">
        <v>104</v>
      </c>
    </row>
    <row r="19" spans="1:4">
      <c r="A19" t="s">
        <v>40</v>
      </c>
      <c r="B19" t="s">
        <v>47</v>
      </c>
      <c r="C19" t="s">
        <v>66</v>
      </c>
      <c r="D19" t="s">
        <v>104</v>
      </c>
    </row>
    <row r="20" spans="1:4">
      <c r="A20" t="s">
        <v>40</v>
      </c>
      <c r="B20" t="s">
        <v>48</v>
      </c>
      <c r="C20" t="s">
        <v>67</v>
      </c>
      <c r="D20" t="s">
        <v>105</v>
      </c>
    </row>
    <row r="21" spans="1:4">
      <c r="A21" t="s">
        <v>40</v>
      </c>
      <c r="B21" t="s">
        <v>48</v>
      </c>
      <c r="C21" t="s">
        <v>68</v>
      </c>
      <c r="D21" t="s">
        <v>105</v>
      </c>
    </row>
    <row r="22" spans="1:4">
      <c r="A22" t="s">
        <v>40</v>
      </c>
      <c r="B22" t="s">
        <v>48</v>
      </c>
      <c r="C22" t="s">
        <v>69</v>
      </c>
      <c r="D22" t="s">
        <v>105</v>
      </c>
    </row>
    <row r="23" spans="1:4">
      <c r="A23" t="s">
        <v>40</v>
      </c>
      <c r="B23" t="s">
        <v>48</v>
      </c>
      <c r="C23" t="s">
        <v>70</v>
      </c>
      <c r="D23" t="s">
        <v>105</v>
      </c>
    </row>
    <row r="24" spans="1:4">
      <c r="A24" t="s">
        <v>40</v>
      </c>
      <c r="B24" t="s">
        <v>49</v>
      </c>
      <c r="C24" t="s">
        <v>49</v>
      </c>
      <c r="D24" t="s">
        <v>106</v>
      </c>
    </row>
    <row r="25" spans="1:4">
      <c r="A25" t="s">
        <v>17</v>
      </c>
      <c r="B25" t="s">
        <v>41</v>
      </c>
      <c r="C25" t="s">
        <v>41</v>
      </c>
      <c r="D25" t="s">
        <v>105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O27"/>
  <sheetViews>
    <sheetView zoomScale="115" zoomScaleNormal="115" zoomScalePageLayoutView="115" workbookViewId="0">
      <selection activeCell="F7" sqref="F7"/>
    </sheetView>
  </sheetViews>
  <sheetFormatPr baseColWidth="10" defaultRowHeight="15" x14ac:dyDescent="0"/>
  <cols>
    <col min="1" max="1" width="12.1640625" customWidth="1"/>
    <col min="2" max="2" width="12.83203125" bestFit="1" customWidth="1"/>
    <col min="3" max="3" width="22.33203125" bestFit="1" customWidth="1"/>
    <col min="4" max="4" width="21" bestFit="1" customWidth="1"/>
    <col min="5" max="14" width="6.1640625" bestFit="1" customWidth="1"/>
  </cols>
  <sheetData>
    <row r="1" spans="1:15">
      <c r="A1" t="s">
        <v>73</v>
      </c>
    </row>
    <row r="2" spans="1:15">
      <c r="A2" t="s">
        <v>9</v>
      </c>
      <c r="B2" t="s">
        <v>10</v>
      </c>
      <c r="C2" t="s">
        <v>0</v>
      </c>
      <c r="D2" t="s">
        <v>1</v>
      </c>
      <c r="E2">
        <v>1971</v>
      </c>
      <c r="F2">
        <v>1990</v>
      </c>
      <c r="G2">
        <v>2005</v>
      </c>
      <c r="H2">
        <v>2010</v>
      </c>
      <c r="I2">
        <v>2015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2100</v>
      </c>
    </row>
    <row r="3" spans="1:15">
      <c r="A3" t="s">
        <v>40</v>
      </c>
      <c r="B3" t="s">
        <v>4</v>
      </c>
      <c r="C3" t="s">
        <v>52</v>
      </c>
      <c r="D3" t="s">
        <v>2</v>
      </c>
      <c r="E3">
        <v>0.3</v>
      </c>
      <c r="F3">
        <v>0.35</v>
      </c>
      <c r="G3">
        <v>0.39100000000000001</v>
      </c>
      <c r="H3">
        <v>0.39100000000000001</v>
      </c>
      <c r="I3">
        <v>0.39100000000000001</v>
      </c>
      <c r="J3">
        <v>0.39100000000000001</v>
      </c>
      <c r="K3">
        <v>0.4</v>
      </c>
      <c r="L3">
        <v>0.40899999999999997</v>
      </c>
      <c r="M3">
        <v>0.41899999999999998</v>
      </c>
      <c r="N3">
        <v>0.42799999999999999</v>
      </c>
      <c r="O3">
        <v>0.438</v>
      </c>
    </row>
    <row r="4" spans="1:15">
      <c r="A4" t="s">
        <v>40</v>
      </c>
      <c r="B4" t="s">
        <v>4</v>
      </c>
      <c r="C4" t="s">
        <v>53</v>
      </c>
      <c r="D4" t="s">
        <v>2</v>
      </c>
      <c r="E4">
        <v>0.42599999999999999</v>
      </c>
      <c r="F4">
        <v>0.42599999999999999</v>
      </c>
      <c r="G4">
        <v>0.42599999999999999</v>
      </c>
      <c r="H4">
        <v>0.42599999999999999</v>
      </c>
      <c r="I4">
        <v>0.42599999999999999</v>
      </c>
      <c r="J4">
        <v>0.42599999999999999</v>
      </c>
      <c r="K4">
        <v>0.44900000000000001</v>
      </c>
      <c r="L4">
        <v>0.47</v>
      </c>
      <c r="M4">
        <v>0.48599999999999999</v>
      </c>
      <c r="N4">
        <v>0.496</v>
      </c>
      <c r="O4">
        <v>0.5</v>
      </c>
    </row>
    <row r="5" spans="1:15">
      <c r="A5" t="s">
        <v>40</v>
      </c>
      <c r="B5" t="s">
        <v>4</v>
      </c>
      <c r="C5" t="s">
        <v>55</v>
      </c>
      <c r="D5" t="s">
        <v>2</v>
      </c>
      <c r="E5">
        <v>0.35632932299999998</v>
      </c>
      <c r="F5">
        <v>0.35632932299999998</v>
      </c>
      <c r="G5">
        <v>0.35632932299999998</v>
      </c>
      <c r="H5">
        <v>0.35632932299999998</v>
      </c>
      <c r="I5">
        <v>0.35632932299999998</v>
      </c>
      <c r="J5">
        <v>0.36428907700000002</v>
      </c>
      <c r="K5">
        <v>0.394133281</v>
      </c>
      <c r="L5">
        <v>0.42094357999999998</v>
      </c>
      <c r="M5">
        <v>0.43725985699999997</v>
      </c>
      <c r="N5">
        <v>0.44773555100000001</v>
      </c>
      <c r="O5">
        <v>0.45134522900000001</v>
      </c>
    </row>
    <row r="6" spans="1:15">
      <c r="A6" t="s">
        <v>40</v>
      </c>
      <c r="B6" t="s">
        <v>43</v>
      </c>
      <c r="C6" t="s">
        <v>56</v>
      </c>
      <c r="D6" t="s">
        <v>7</v>
      </c>
      <c r="E6">
        <v>0.25</v>
      </c>
      <c r="F6">
        <v>0.3</v>
      </c>
      <c r="G6">
        <v>0.33</v>
      </c>
      <c r="H6">
        <v>0.33</v>
      </c>
      <c r="I6">
        <v>0.38400000000000001</v>
      </c>
      <c r="J6">
        <v>0.38400000000000001</v>
      </c>
      <c r="K6">
        <v>0.39300000000000002</v>
      </c>
      <c r="L6">
        <v>0.40200000000000002</v>
      </c>
      <c r="M6">
        <v>0.41099999999999998</v>
      </c>
      <c r="N6">
        <v>0.42099999999999999</v>
      </c>
      <c r="O6">
        <v>0.43</v>
      </c>
    </row>
    <row r="7" spans="1:15">
      <c r="A7" t="s">
        <v>40</v>
      </c>
      <c r="B7" t="s">
        <v>43</v>
      </c>
      <c r="C7" t="s">
        <v>54</v>
      </c>
      <c r="D7" t="s">
        <v>7</v>
      </c>
      <c r="E7">
        <v>0.45</v>
      </c>
      <c r="F7">
        <v>0.45</v>
      </c>
      <c r="G7">
        <v>0.5</v>
      </c>
      <c r="H7">
        <v>0.55000000000000004</v>
      </c>
      <c r="I7">
        <v>0.55400000000000005</v>
      </c>
      <c r="J7">
        <v>0.55400000000000005</v>
      </c>
      <c r="K7">
        <v>0.59899999999999998</v>
      </c>
      <c r="L7">
        <v>0.64</v>
      </c>
      <c r="M7">
        <v>0.67200000000000004</v>
      </c>
      <c r="N7">
        <v>0.69299999999999995</v>
      </c>
      <c r="O7">
        <v>0.7</v>
      </c>
    </row>
    <row r="8" spans="1:15">
      <c r="A8" t="s">
        <v>40</v>
      </c>
      <c r="B8" t="s">
        <v>43</v>
      </c>
      <c r="C8" t="s">
        <v>57</v>
      </c>
      <c r="D8" t="s">
        <v>7</v>
      </c>
      <c r="E8">
        <v>0.48720148200000002</v>
      </c>
      <c r="F8">
        <v>0.48720148200000002</v>
      </c>
      <c r="G8">
        <v>0.48720148200000002</v>
      </c>
      <c r="H8">
        <v>0.48720148200000002</v>
      </c>
      <c r="I8">
        <v>0.48720148200000002</v>
      </c>
      <c r="J8">
        <v>0.49097364900000001</v>
      </c>
      <c r="K8">
        <v>0.53978271600000005</v>
      </c>
      <c r="L8">
        <v>0.58396003900000004</v>
      </c>
      <c r="M8">
        <v>0.61635640599999997</v>
      </c>
      <c r="N8">
        <v>0.63715615400000003</v>
      </c>
      <c r="O8">
        <v>0.64432325899999998</v>
      </c>
    </row>
    <row r="9" spans="1:15">
      <c r="A9" t="s">
        <v>40</v>
      </c>
      <c r="B9" t="s">
        <v>44</v>
      </c>
      <c r="C9" t="s">
        <v>58</v>
      </c>
      <c r="D9" t="s">
        <v>35</v>
      </c>
      <c r="E9">
        <v>0.3</v>
      </c>
      <c r="F9">
        <v>0.35</v>
      </c>
      <c r="G9">
        <v>0.38400000000000001</v>
      </c>
      <c r="H9">
        <v>0.38400000000000001</v>
      </c>
      <c r="I9">
        <v>0.38400000000000001</v>
      </c>
      <c r="J9">
        <v>0.38400000000000001</v>
      </c>
      <c r="K9">
        <v>0.39300000000000002</v>
      </c>
      <c r="L9">
        <v>0.40200000000000002</v>
      </c>
      <c r="M9">
        <v>0.41099999999999998</v>
      </c>
      <c r="N9">
        <v>0.42099999999999999</v>
      </c>
      <c r="O9">
        <v>0.43</v>
      </c>
    </row>
    <row r="10" spans="1:15">
      <c r="A10" t="s">
        <v>40</v>
      </c>
      <c r="B10" t="s">
        <v>44</v>
      </c>
      <c r="C10" t="s">
        <v>59</v>
      </c>
      <c r="D10" t="s">
        <v>35</v>
      </c>
      <c r="E10">
        <v>0.42599999999999999</v>
      </c>
      <c r="F10">
        <v>0.42599999999999999</v>
      </c>
      <c r="G10">
        <v>0.42599999999999999</v>
      </c>
      <c r="H10">
        <v>0.42599999999999999</v>
      </c>
      <c r="I10">
        <v>0.42624803</v>
      </c>
      <c r="J10">
        <v>0.42624803</v>
      </c>
      <c r="K10">
        <v>0.44903864199999999</v>
      </c>
      <c r="L10">
        <v>0.46959835</v>
      </c>
      <c r="M10">
        <v>0.48591462699999999</v>
      </c>
      <c r="N10">
        <v>0.49639032199999999</v>
      </c>
      <c r="O10">
        <v>0.5</v>
      </c>
    </row>
    <row r="11" spans="1:15">
      <c r="A11" t="s">
        <v>40</v>
      </c>
      <c r="B11" t="s">
        <v>44</v>
      </c>
      <c r="C11" t="s">
        <v>60</v>
      </c>
      <c r="D11" t="s">
        <v>35</v>
      </c>
      <c r="E11" s="1">
        <v>0.35983912000000001</v>
      </c>
      <c r="F11" s="1">
        <v>0.35983912000000001</v>
      </c>
      <c r="G11" s="1">
        <v>0.35983912000000001</v>
      </c>
      <c r="H11" s="1">
        <v>0.35983912000000001</v>
      </c>
      <c r="I11" s="1">
        <v>0.35983912000000001</v>
      </c>
      <c r="J11">
        <v>0.363613943</v>
      </c>
      <c r="K11">
        <v>0.38996481</v>
      </c>
      <c r="L11">
        <v>0.41388239999999998</v>
      </c>
      <c r="M11">
        <v>0.43019867699999997</v>
      </c>
      <c r="N11">
        <v>0.44067437199999998</v>
      </c>
      <c r="O11">
        <v>0.44428404999999999</v>
      </c>
    </row>
    <row r="12" spans="1:15">
      <c r="A12" t="s">
        <v>40</v>
      </c>
      <c r="B12" t="s">
        <v>3</v>
      </c>
      <c r="C12" t="s">
        <v>61</v>
      </c>
      <c r="D12" t="s">
        <v>6</v>
      </c>
      <c r="E12">
        <v>0.3</v>
      </c>
      <c r="F12">
        <v>0.35</v>
      </c>
      <c r="G12">
        <v>0.38200000000000001</v>
      </c>
      <c r="H12">
        <v>0.38200000000000001</v>
      </c>
      <c r="I12">
        <v>0.38200000000000001</v>
      </c>
      <c r="J12">
        <v>0.38200000000000001</v>
      </c>
      <c r="K12">
        <v>0.39</v>
      </c>
      <c r="L12">
        <v>0.39900000000000002</v>
      </c>
      <c r="M12">
        <v>0.40799999999999997</v>
      </c>
      <c r="N12">
        <v>0.41799999999999998</v>
      </c>
      <c r="O12">
        <v>0.42699999999999999</v>
      </c>
    </row>
    <row r="13" spans="1:15">
      <c r="A13" t="s">
        <v>40</v>
      </c>
      <c r="B13" t="s">
        <v>3</v>
      </c>
      <c r="C13" t="s">
        <v>62</v>
      </c>
      <c r="D13" t="s">
        <v>6</v>
      </c>
      <c r="E13">
        <v>0.41599999999999998</v>
      </c>
      <c r="F13">
        <v>0.41599999999999998</v>
      </c>
      <c r="G13">
        <v>0.41599999999999998</v>
      </c>
      <c r="H13">
        <v>0.41599999999999998</v>
      </c>
      <c r="I13">
        <v>0.41599999999999998</v>
      </c>
      <c r="J13">
        <v>0.41599999999999998</v>
      </c>
      <c r="K13">
        <v>0.438</v>
      </c>
      <c r="L13">
        <v>0.45800000000000002</v>
      </c>
      <c r="M13">
        <v>0.47399999999999998</v>
      </c>
      <c r="N13">
        <v>0.48399999999999999</v>
      </c>
      <c r="O13">
        <v>0.48799999999999999</v>
      </c>
    </row>
    <row r="14" spans="1:15">
      <c r="A14" t="s">
        <v>40</v>
      </c>
      <c r="B14" t="s">
        <v>3</v>
      </c>
      <c r="C14" t="s">
        <v>63</v>
      </c>
      <c r="D14" t="s">
        <v>6</v>
      </c>
      <c r="E14">
        <v>0.35685245700000001</v>
      </c>
      <c r="F14">
        <v>0.35685245700000001</v>
      </c>
      <c r="G14">
        <v>0.35685245700000001</v>
      </c>
      <c r="H14">
        <v>0.35685245700000001</v>
      </c>
      <c r="I14">
        <v>0.35685245700000001</v>
      </c>
      <c r="J14">
        <v>0.36355847699999999</v>
      </c>
      <c r="K14">
        <v>0.39173081300000001</v>
      </c>
      <c r="L14">
        <v>0.41705062399999998</v>
      </c>
      <c r="M14">
        <v>0.43296536699999999</v>
      </c>
      <c r="N14">
        <v>0.44318326200000002</v>
      </c>
      <c r="O14">
        <v>0.44670410799999999</v>
      </c>
    </row>
    <row r="15" spans="1:15">
      <c r="A15" t="s">
        <v>40</v>
      </c>
      <c r="B15" t="s">
        <v>45</v>
      </c>
      <c r="C15" t="s">
        <v>64</v>
      </c>
      <c r="D15" t="s">
        <v>5</v>
      </c>
      <c r="E15">
        <v>0.33300000000000002</v>
      </c>
      <c r="F15">
        <v>0.33300000000000002</v>
      </c>
      <c r="G15">
        <v>0.33300000000000002</v>
      </c>
      <c r="H15">
        <v>0.33300000000000002</v>
      </c>
      <c r="I15">
        <v>0.33300000000000002</v>
      </c>
      <c r="J15">
        <v>0.33300000000000002</v>
      </c>
      <c r="K15">
        <v>0.33300000000000002</v>
      </c>
      <c r="L15">
        <v>0.33300000000000002</v>
      </c>
      <c r="M15">
        <v>0.33300000000000002</v>
      </c>
      <c r="N15">
        <v>0.33300000000000002</v>
      </c>
      <c r="O15">
        <v>0.33300000000000002</v>
      </c>
    </row>
    <row r="16" spans="1:15">
      <c r="A16" t="s">
        <v>40</v>
      </c>
      <c r="B16" t="s">
        <v>45</v>
      </c>
      <c r="C16" t="s">
        <v>65</v>
      </c>
      <c r="D16" t="s">
        <v>8</v>
      </c>
      <c r="E16">
        <v>0.33300000000000002</v>
      </c>
      <c r="F16">
        <v>0.33300000000000002</v>
      </c>
      <c r="G16">
        <v>0.33300000000000002</v>
      </c>
      <c r="H16">
        <v>0.33300000000000002</v>
      </c>
      <c r="I16">
        <v>0.33300000000000002</v>
      </c>
      <c r="J16">
        <v>0.33300000000000002</v>
      </c>
      <c r="K16">
        <v>0.33300000000000002</v>
      </c>
      <c r="L16">
        <v>0.33300000000000002</v>
      </c>
      <c r="M16">
        <v>0.33300000000000002</v>
      </c>
      <c r="N16">
        <v>0.33300000000000002</v>
      </c>
      <c r="O16">
        <v>0.33300000000000002</v>
      </c>
    </row>
    <row r="17" spans="1:15">
      <c r="A17" t="s">
        <v>40</v>
      </c>
      <c r="B17" t="s">
        <v>47</v>
      </c>
      <c r="C17" t="s">
        <v>47</v>
      </c>
      <c r="D17" t="s">
        <v>71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</row>
    <row r="18" spans="1:15">
      <c r="A18" t="s">
        <v>40</v>
      </c>
      <c r="B18" t="s">
        <v>47</v>
      </c>
      <c r="C18" t="s">
        <v>66</v>
      </c>
      <c r="D18" t="s">
        <v>71</v>
      </c>
      <c r="E18">
        <v>0.96</v>
      </c>
      <c r="F18">
        <v>0.96</v>
      </c>
      <c r="G18">
        <v>0.96</v>
      </c>
      <c r="H18">
        <v>0.96</v>
      </c>
      <c r="I18">
        <v>0.96</v>
      </c>
      <c r="J18">
        <v>0.96</v>
      </c>
      <c r="K18">
        <v>0.96</v>
      </c>
      <c r="L18">
        <v>0.96</v>
      </c>
      <c r="M18">
        <v>0.96</v>
      </c>
      <c r="N18">
        <v>0.96</v>
      </c>
      <c r="O18">
        <v>0.96</v>
      </c>
    </row>
    <row r="19" spans="1:15">
      <c r="A19" t="s">
        <v>40</v>
      </c>
      <c r="B19" t="s">
        <v>48</v>
      </c>
      <c r="C19" t="s">
        <v>67</v>
      </c>
      <c r="D19" t="s">
        <v>72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1:15">
      <c r="A20" t="s">
        <v>40</v>
      </c>
      <c r="B20" t="s">
        <v>48</v>
      </c>
      <c r="C20" t="s">
        <v>67</v>
      </c>
      <c r="D20" t="s">
        <v>74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</row>
    <row r="21" spans="1:15">
      <c r="A21" t="s">
        <v>40</v>
      </c>
      <c r="B21" t="s">
        <v>48</v>
      </c>
      <c r="C21" t="s">
        <v>68</v>
      </c>
      <c r="D21" t="s">
        <v>72</v>
      </c>
      <c r="E21">
        <v>0.96</v>
      </c>
      <c r="F21">
        <v>0.96</v>
      </c>
      <c r="G21">
        <v>0.96</v>
      </c>
      <c r="H21">
        <v>0.96</v>
      </c>
      <c r="I21">
        <v>0.96</v>
      </c>
      <c r="J21">
        <v>0.96</v>
      </c>
      <c r="K21">
        <v>0.96</v>
      </c>
      <c r="L21">
        <v>0.96</v>
      </c>
      <c r="M21">
        <v>0.96</v>
      </c>
      <c r="N21">
        <v>0.96</v>
      </c>
      <c r="O21">
        <v>0.96</v>
      </c>
    </row>
    <row r="22" spans="1:15">
      <c r="A22" t="s">
        <v>40</v>
      </c>
      <c r="B22" t="s">
        <v>48</v>
      </c>
      <c r="C22" t="s">
        <v>69</v>
      </c>
      <c r="D22" t="s">
        <v>72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1:15">
      <c r="A23" t="s">
        <v>40</v>
      </c>
      <c r="B23" t="s">
        <v>48</v>
      </c>
      <c r="C23" t="s">
        <v>69</v>
      </c>
      <c r="D23" t="s">
        <v>75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</row>
    <row r="24" spans="1:15">
      <c r="A24" t="s">
        <v>40</v>
      </c>
      <c r="B24" t="s">
        <v>48</v>
      </c>
      <c r="C24" t="s">
        <v>70</v>
      </c>
      <c r="D24" t="s">
        <v>72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1:15">
      <c r="A25" t="s">
        <v>40</v>
      </c>
      <c r="B25" t="s">
        <v>49</v>
      </c>
      <c r="C25" t="s">
        <v>49</v>
      </c>
      <c r="D25" t="s">
        <v>49</v>
      </c>
      <c r="E25">
        <v>0.1</v>
      </c>
      <c r="F25">
        <v>0.1</v>
      </c>
      <c r="G25">
        <v>0.1</v>
      </c>
      <c r="H25">
        <v>0.1</v>
      </c>
      <c r="I25">
        <v>0.1</v>
      </c>
      <c r="J25">
        <v>0.1</v>
      </c>
      <c r="K25">
        <v>0.1</v>
      </c>
      <c r="L25">
        <v>0.1</v>
      </c>
      <c r="M25">
        <v>0.1</v>
      </c>
      <c r="N25">
        <v>0.1</v>
      </c>
      <c r="O25">
        <v>0.1</v>
      </c>
    </row>
    <row r="26" spans="1:15">
      <c r="A26" t="s">
        <v>17</v>
      </c>
      <c r="B26" t="s">
        <v>41</v>
      </c>
      <c r="C26" t="s">
        <v>41</v>
      </c>
      <c r="D26" t="s">
        <v>77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1:15">
      <c r="A27" t="s">
        <v>17</v>
      </c>
      <c r="B27" t="s">
        <v>41</v>
      </c>
      <c r="C27" t="s">
        <v>41</v>
      </c>
      <c r="D27" t="s">
        <v>74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P24"/>
  <sheetViews>
    <sheetView zoomScale="115" zoomScaleNormal="115" zoomScalePageLayoutView="115" workbookViewId="0">
      <selection activeCell="E13" sqref="E13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1.5" bestFit="1" customWidth="1"/>
    <col min="5" max="5" width="15" bestFit="1" customWidth="1"/>
    <col min="6" max="6" width="13.1640625" bestFit="1" customWidth="1"/>
    <col min="7" max="7" width="6.1640625" bestFit="1" customWidth="1"/>
    <col min="8" max="16" width="5.1640625" bestFit="1" customWidth="1"/>
  </cols>
  <sheetData>
    <row r="1" spans="1:16">
      <c r="A1" t="s">
        <v>80</v>
      </c>
    </row>
    <row r="2" spans="1:16">
      <c r="A2" t="s">
        <v>9</v>
      </c>
      <c r="B2" t="s">
        <v>10</v>
      </c>
      <c r="C2" t="s">
        <v>0</v>
      </c>
      <c r="D2" t="s">
        <v>78</v>
      </c>
      <c r="E2" t="s">
        <v>95</v>
      </c>
      <c r="F2" t="s">
        <v>96</v>
      </c>
      <c r="G2">
        <v>1971</v>
      </c>
      <c r="H2">
        <v>1990</v>
      </c>
      <c r="I2">
        <v>2005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2095</v>
      </c>
      <c r="P2">
        <v>2100</v>
      </c>
    </row>
    <row r="3" spans="1:16">
      <c r="A3" t="s">
        <v>40</v>
      </c>
      <c r="B3" t="s">
        <v>4</v>
      </c>
      <c r="C3" t="s">
        <v>52</v>
      </c>
      <c r="D3" t="s">
        <v>79</v>
      </c>
      <c r="E3">
        <v>0.15</v>
      </c>
      <c r="F3">
        <v>0.8</v>
      </c>
      <c r="G3">
        <v>496</v>
      </c>
      <c r="H3">
        <v>496</v>
      </c>
      <c r="I3">
        <v>496</v>
      </c>
      <c r="J3">
        <v>496</v>
      </c>
      <c r="K3">
        <v>467</v>
      </c>
      <c r="L3">
        <v>440</v>
      </c>
      <c r="M3">
        <v>414</v>
      </c>
      <c r="N3">
        <v>390</v>
      </c>
      <c r="O3">
        <v>367</v>
      </c>
      <c r="P3">
        <v>367</v>
      </c>
    </row>
    <row r="4" spans="1:16">
      <c r="A4" t="s">
        <v>40</v>
      </c>
      <c r="B4" t="s">
        <v>4</v>
      </c>
      <c r="C4" t="s">
        <v>53</v>
      </c>
      <c r="D4" t="s">
        <v>79</v>
      </c>
      <c r="E4">
        <v>0.15</v>
      </c>
      <c r="F4">
        <v>0.8</v>
      </c>
      <c r="G4">
        <v>575</v>
      </c>
      <c r="H4">
        <v>575</v>
      </c>
      <c r="I4">
        <v>575</v>
      </c>
      <c r="J4">
        <v>575</v>
      </c>
      <c r="K4">
        <v>517</v>
      </c>
      <c r="L4">
        <v>437</v>
      </c>
      <c r="M4">
        <v>433</v>
      </c>
      <c r="N4">
        <v>410</v>
      </c>
      <c r="O4">
        <v>402</v>
      </c>
      <c r="P4">
        <v>402</v>
      </c>
    </row>
    <row r="5" spans="1:16">
      <c r="A5" t="s">
        <v>40</v>
      </c>
      <c r="B5" t="s">
        <v>4</v>
      </c>
      <c r="C5" t="s">
        <v>55</v>
      </c>
      <c r="D5" t="s">
        <v>79</v>
      </c>
      <c r="E5">
        <v>0.15</v>
      </c>
      <c r="F5">
        <v>0.8</v>
      </c>
      <c r="G5">
        <v>758</v>
      </c>
      <c r="H5">
        <v>758</v>
      </c>
      <c r="I5">
        <v>758</v>
      </c>
      <c r="J5">
        <v>758</v>
      </c>
      <c r="K5">
        <v>666</v>
      </c>
      <c r="L5">
        <v>558</v>
      </c>
      <c r="M5">
        <v>550</v>
      </c>
      <c r="N5">
        <v>522</v>
      </c>
      <c r="O5">
        <v>512</v>
      </c>
      <c r="P5">
        <v>512</v>
      </c>
    </row>
    <row r="6" spans="1:16">
      <c r="A6" t="s">
        <v>40</v>
      </c>
      <c r="B6" t="s">
        <v>43</v>
      </c>
      <c r="C6" t="s">
        <v>56</v>
      </c>
      <c r="D6" t="s">
        <v>79</v>
      </c>
      <c r="E6">
        <v>0.15</v>
      </c>
      <c r="F6">
        <v>0.8</v>
      </c>
      <c r="G6">
        <v>158</v>
      </c>
      <c r="H6">
        <v>158</v>
      </c>
      <c r="I6">
        <v>158</v>
      </c>
      <c r="J6">
        <v>163</v>
      </c>
      <c r="K6">
        <v>154</v>
      </c>
      <c r="L6">
        <v>145</v>
      </c>
      <c r="M6">
        <v>136</v>
      </c>
      <c r="N6">
        <v>128</v>
      </c>
      <c r="O6">
        <v>121</v>
      </c>
      <c r="P6">
        <v>121</v>
      </c>
    </row>
    <row r="7" spans="1:16">
      <c r="A7" t="s">
        <v>40</v>
      </c>
      <c r="B7" t="s">
        <v>43</v>
      </c>
      <c r="C7" t="s">
        <v>54</v>
      </c>
      <c r="D7" t="s">
        <v>79</v>
      </c>
      <c r="E7">
        <v>0.15</v>
      </c>
      <c r="F7">
        <v>0.8</v>
      </c>
      <c r="G7">
        <v>233</v>
      </c>
      <c r="H7">
        <v>233</v>
      </c>
      <c r="I7">
        <v>233</v>
      </c>
      <c r="J7">
        <v>233</v>
      </c>
      <c r="K7">
        <v>203</v>
      </c>
      <c r="L7">
        <v>177</v>
      </c>
      <c r="M7">
        <v>173</v>
      </c>
      <c r="N7">
        <v>166</v>
      </c>
      <c r="O7">
        <v>163</v>
      </c>
      <c r="P7">
        <v>163</v>
      </c>
    </row>
    <row r="8" spans="1:16">
      <c r="A8" t="s">
        <v>40</v>
      </c>
      <c r="B8" t="s">
        <v>43</v>
      </c>
      <c r="C8" t="s">
        <v>57</v>
      </c>
      <c r="D8" t="s">
        <v>79</v>
      </c>
      <c r="E8">
        <v>0.15</v>
      </c>
      <c r="F8">
        <v>0.8</v>
      </c>
      <c r="G8">
        <v>362</v>
      </c>
      <c r="H8">
        <v>362</v>
      </c>
      <c r="I8">
        <v>362</v>
      </c>
      <c r="J8">
        <v>362</v>
      </c>
      <c r="K8">
        <v>313</v>
      </c>
      <c r="L8">
        <v>273</v>
      </c>
      <c r="M8">
        <v>265</v>
      </c>
      <c r="N8">
        <v>254</v>
      </c>
      <c r="O8">
        <v>250</v>
      </c>
      <c r="P8">
        <v>250</v>
      </c>
    </row>
    <row r="9" spans="1:16">
      <c r="A9" t="s">
        <v>40</v>
      </c>
      <c r="B9" t="s">
        <v>44</v>
      </c>
      <c r="C9" t="s">
        <v>58</v>
      </c>
      <c r="D9" t="s">
        <v>79</v>
      </c>
      <c r="E9">
        <v>0.15</v>
      </c>
      <c r="F9">
        <v>0.8</v>
      </c>
      <c r="G9">
        <v>158</v>
      </c>
      <c r="H9">
        <v>158</v>
      </c>
      <c r="I9">
        <v>158</v>
      </c>
      <c r="J9">
        <v>163</v>
      </c>
      <c r="K9">
        <v>154</v>
      </c>
      <c r="L9">
        <v>145</v>
      </c>
      <c r="M9">
        <v>136</v>
      </c>
      <c r="N9">
        <v>128</v>
      </c>
      <c r="O9">
        <v>121</v>
      </c>
      <c r="P9">
        <v>121</v>
      </c>
    </row>
    <row r="10" spans="1:16">
      <c r="A10" t="s">
        <v>40</v>
      </c>
      <c r="B10" t="s">
        <v>44</v>
      </c>
      <c r="C10" t="s">
        <v>59</v>
      </c>
      <c r="D10" t="s">
        <v>79</v>
      </c>
      <c r="E10">
        <v>0.15</v>
      </c>
      <c r="F10">
        <v>0.8</v>
      </c>
      <c r="G10">
        <v>517</v>
      </c>
      <c r="H10">
        <v>517</v>
      </c>
      <c r="I10">
        <v>517</v>
      </c>
      <c r="J10">
        <v>517</v>
      </c>
      <c r="K10">
        <v>451</v>
      </c>
      <c r="L10">
        <v>393</v>
      </c>
      <c r="M10">
        <v>384</v>
      </c>
      <c r="N10">
        <v>368</v>
      </c>
      <c r="O10">
        <v>362</v>
      </c>
      <c r="P10">
        <v>362</v>
      </c>
    </row>
    <row r="11" spans="1:16">
      <c r="A11" t="s">
        <v>40</v>
      </c>
      <c r="B11" t="s">
        <v>44</v>
      </c>
      <c r="C11" t="s">
        <v>60</v>
      </c>
      <c r="D11" t="s">
        <v>79</v>
      </c>
      <c r="E11">
        <v>0.15</v>
      </c>
      <c r="F11">
        <v>0.8</v>
      </c>
      <c r="G11">
        <v>741</v>
      </c>
      <c r="H11">
        <v>741</v>
      </c>
      <c r="I11">
        <v>741</v>
      </c>
      <c r="J11">
        <v>741</v>
      </c>
      <c r="K11">
        <v>641</v>
      </c>
      <c r="L11">
        <v>558</v>
      </c>
      <c r="M11">
        <v>543</v>
      </c>
      <c r="N11">
        <v>521</v>
      </c>
      <c r="O11">
        <v>513</v>
      </c>
      <c r="P11">
        <v>513</v>
      </c>
    </row>
    <row r="12" spans="1:16">
      <c r="A12" t="s">
        <v>40</v>
      </c>
      <c r="B12" t="s">
        <v>3</v>
      </c>
      <c r="C12" t="s">
        <v>61</v>
      </c>
      <c r="D12" t="s">
        <v>79</v>
      </c>
      <c r="E12">
        <v>0.15</v>
      </c>
      <c r="F12">
        <v>0.8</v>
      </c>
      <c r="G12">
        <v>511</v>
      </c>
      <c r="H12">
        <v>511</v>
      </c>
      <c r="I12">
        <v>511</v>
      </c>
      <c r="J12">
        <v>511</v>
      </c>
      <c r="K12">
        <v>481</v>
      </c>
      <c r="L12">
        <v>453</v>
      </c>
      <c r="M12">
        <v>427</v>
      </c>
      <c r="N12">
        <v>402</v>
      </c>
      <c r="O12">
        <v>378</v>
      </c>
      <c r="P12">
        <v>378</v>
      </c>
    </row>
    <row r="13" spans="1:16">
      <c r="A13" t="s">
        <v>40</v>
      </c>
      <c r="B13" t="s">
        <v>3</v>
      </c>
      <c r="C13" t="s">
        <v>62</v>
      </c>
      <c r="D13" t="s">
        <v>79</v>
      </c>
      <c r="E13">
        <v>0.15</v>
      </c>
      <c r="F13">
        <v>0.8</v>
      </c>
      <c r="G13">
        <v>592</v>
      </c>
      <c r="H13">
        <v>592</v>
      </c>
      <c r="I13">
        <v>592</v>
      </c>
      <c r="J13">
        <v>592</v>
      </c>
      <c r="K13">
        <v>533</v>
      </c>
      <c r="L13">
        <v>450</v>
      </c>
      <c r="M13">
        <v>446</v>
      </c>
      <c r="N13">
        <v>423</v>
      </c>
      <c r="O13">
        <v>415</v>
      </c>
      <c r="P13">
        <v>415</v>
      </c>
    </row>
    <row r="14" spans="1:16">
      <c r="A14" t="s">
        <v>40</v>
      </c>
      <c r="B14" t="s">
        <v>3</v>
      </c>
      <c r="C14" t="s">
        <v>63</v>
      </c>
      <c r="D14" t="s">
        <v>79</v>
      </c>
      <c r="E14">
        <v>0.15</v>
      </c>
      <c r="F14">
        <v>0.8</v>
      </c>
      <c r="G14">
        <v>763</v>
      </c>
      <c r="H14">
        <v>763</v>
      </c>
      <c r="I14">
        <v>763</v>
      </c>
      <c r="J14">
        <v>763</v>
      </c>
      <c r="K14">
        <v>673</v>
      </c>
      <c r="L14">
        <v>565</v>
      </c>
      <c r="M14">
        <v>558</v>
      </c>
      <c r="N14">
        <v>529</v>
      </c>
      <c r="O14">
        <v>520</v>
      </c>
      <c r="P14">
        <v>520</v>
      </c>
    </row>
    <row r="15" spans="1:16">
      <c r="A15" t="s">
        <v>40</v>
      </c>
      <c r="B15" t="s">
        <v>45</v>
      </c>
      <c r="C15" t="s">
        <v>64</v>
      </c>
      <c r="D15" t="s">
        <v>79</v>
      </c>
      <c r="E15">
        <v>0.15</v>
      </c>
      <c r="F15">
        <v>0.9</v>
      </c>
      <c r="G15">
        <v>620</v>
      </c>
      <c r="H15">
        <v>620</v>
      </c>
      <c r="I15">
        <v>620</v>
      </c>
      <c r="J15">
        <v>620</v>
      </c>
      <c r="K15">
        <v>620</v>
      </c>
      <c r="L15">
        <v>620</v>
      </c>
      <c r="M15">
        <v>620</v>
      </c>
      <c r="N15">
        <v>620</v>
      </c>
      <c r="O15">
        <v>620</v>
      </c>
      <c r="P15">
        <v>620</v>
      </c>
    </row>
    <row r="16" spans="1:16">
      <c r="A16" t="s">
        <v>40</v>
      </c>
      <c r="B16" t="s">
        <v>45</v>
      </c>
      <c r="C16" t="s">
        <v>65</v>
      </c>
      <c r="D16" t="s">
        <v>79</v>
      </c>
      <c r="E16">
        <v>0.15</v>
      </c>
      <c r="F16">
        <v>0.9</v>
      </c>
      <c r="G16">
        <v>815</v>
      </c>
      <c r="H16">
        <v>815</v>
      </c>
      <c r="I16">
        <v>815</v>
      </c>
      <c r="J16">
        <v>676</v>
      </c>
      <c r="K16">
        <v>664</v>
      </c>
      <c r="L16">
        <v>654</v>
      </c>
      <c r="M16">
        <v>645</v>
      </c>
      <c r="N16">
        <v>636</v>
      </c>
      <c r="O16">
        <v>626</v>
      </c>
      <c r="P16">
        <v>626</v>
      </c>
    </row>
    <row r="17" spans="1:16">
      <c r="A17" t="s">
        <v>40</v>
      </c>
      <c r="B17" t="s">
        <v>47</v>
      </c>
      <c r="C17" t="s">
        <v>47</v>
      </c>
      <c r="D17" t="s">
        <v>79</v>
      </c>
      <c r="E17">
        <v>0.125</v>
      </c>
      <c r="F17">
        <v>0.45</v>
      </c>
      <c r="G17">
        <f t="shared" ref="G17:H22" si="0">H17*1.3</f>
        <v>642.20000000000005</v>
      </c>
      <c r="H17">
        <f>I17*1.3</f>
        <v>494</v>
      </c>
      <c r="I17">
        <v>380</v>
      </c>
      <c r="J17">
        <v>366</v>
      </c>
      <c r="K17">
        <v>353</v>
      </c>
      <c r="L17">
        <v>340</v>
      </c>
      <c r="M17">
        <v>327</v>
      </c>
      <c r="N17">
        <v>315</v>
      </c>
      <c r="O17">
        <v>303</v>
      </c>
      <c r="P17">
        <v>303</v>
      </c>
    </row>
    <row r="18" spans="1:16">
      <c r="A18" t="s">
        <v>40</v>
      </c>
      <c r="B18" t="s">
        <v>47</v>
      </c>
      <c r="C18" t="s">
        <v>66</v>
      </c>
      <c r="D18" t="s">
        <v>79</v>
      </c>
      <c r="E18">
        <v>0.125</v>
      </c>
      <c r="F18">
        <v>0.45</v>
      </c>
      <c r="G18">
        <f t="shared" si="0"/>
        <v>1548.04</v>
      </c>
      <c r="H18">
        <f t="shared" si="0"/>
        <v>1190.8</v>
      </c>
      <c r="I18">
        <v>916</v>
      </c>
      <c r="J18">
        <v>827</v>
      </c>
      <c r="K18">
        <v>764</v>
      </c>
      <c r="L18">
        <v>721</v>
      </c>
      <c r="M18">
        <v>695</v>
      </c>
      <c r="N18">
        <v>669</v>
      </c>
      <c r="O18">
        <v>645</v>
      </c>
      <c r="P18">
        <v>645</v>
      </c>
    </row>
    <row r="19" spans="1:16">
      <c r="A19" t="s">
        <v>40</v>
      </c>
      <c r="B19" t="s">
        <v>48</v>
      </c>
      <c r="C19" t="s">
        <v>67</v>
      </c>
      <c r="D19" t="s">
        <v>79</v>
      </c>
      <c r="E19">
        <v>0.125</v>
      </c>
      <c r="F19">
        <v>0.25</v>
      </c>
      <c r="G19">
        <f t="shared" si="0"/>
        <v>5097.04</v>
      </c>
      <c r="H19">
        <f t="shared" si="0"/>
        <v>3920.8</v>
      </c>
      <c r="I19">
        <v>3016</v>
      </c>
      <c r="J19">
        <v>1909</v>
      </c>
      <c r="K19">
        <v>1305</v>
      </c>
      <c r="L19">
        <v>963</v>
      </c>
      <c r="M19">
        <v>767</v>
      </c>
      <c r="N19">
        <v>659</v>
      </c>
      <c r="O19">
        <v>610</v>
      </c>
      <c r="P19">
        <v>610</v>
      </c>
    </row>
    <row r="20" spans="1:16">
      <c r="A20" t="s">
        <v>40</v>
      </c>
      <c r="B20" t="s">
        <v>48</v>
      </c>
      <c r="C20" t="s">
        <v>68</v>
      </c>
      <c r="D20" t="s">
        <v>79</v>
      </c>
      <c r="E20">
        <v>0.125</v>
      </c>
      <c r="F20">
        <v>0.25</v>
      </c>
      <c r="G20">
        <f t="shared" si="0"/>
        <v>6002.880000000001</v>
      </c>
      <c r="H20">
        <f t="shared" si="0"/>
        <v>4617.6000000000004</v>
      </c>
      <c r="I20">
        <v>3552</v>
      </c>
      <c r="J20">
        <v>2370</v>
      </c>
      <c r="K20">
        <v>1716</v>
      </c>
      <c r="L20">
        <v>1345</v>
      </c>
      <c r="M20">
        <v>1135</v>
      </c>
      <c r="N20">
        <v>1013</v>
      </c>
      <c r="O20">
        <v>951</v>
      </c>
      <c r="P20">
        <v>951</v>
      </c>
    </row>
    <row r="21" spans="1:16">
      <c r="A21" t="s">
        <v>40</v>
      </c>
      <c r="B21" t="s">
        <v>48</v>
      </c>
      <c r="C21" t="s">
        <v>69</v>
      </c>
      <c r="D21" t="s">
        <v>79</v>
      </c>
      <c r="E21">
        <v>0.125</v>
      </c>
      <c r="F21">
        <v>0.31</v>
      </c>
      <c r="G21">
        <f t="shared" si="0"/>
        <v>1813.3700000000001</v>
      </c>
      <c r="H21">
        <f t="shared" si="0"/>
        <v>1394.9</v>
      </c>
      <c r="I21">
        <v>1073</v>
      </c>
      <c r="J21">
        <v>995</v>
      </c>
      <c r="K21">
        <v>923</v>
      </c>
      <c r="L21">
        <v>856</v>
      </c>
      <c r="M21">
        <v>794</v>
      </c>
      <c r="N21">
        <v>737</v>
      </c>
      <c r="O21">
        <v>683</v>
      </c>
      <c r="P21">
        <v>683</v>
      </c>
    </row>
    <row r="22" spans="1:16">
      <c r="A22" t="s">
        <v>40</v>
      </c>
      <c r="B22" t="s">
        <v>48</v>
      </c>
      <c r="C22" t="s">
        <v>70</v>
      </c>
      <c r="D22" t="s">
        <v>79</v>
      </c>
      <c r="E22">
        <v>0.125</v>
      </c>
      <c r="F22">
        <v>0.73</v>
      </c>
      <c r="G22">
        <f t="shared" si="0"/>
        <v>3626.7400000000002</v>
      </c>
      <c r="H22">
        <f t="shared" si="0"/>
        <v>2789.8</v>
      </c>
      <c r="I22">
        <v>2146</v>
      </c>
      <c r="J22">
        <v>1991</v>
      </c>
      <c r="K22">
        <v>1846</v>
      </c>
      <c r="L22">
        <v>1713</v>
      </c>
      <c r="M22">
        <v>1589</v>
      </c>
      <c r="N22">
        <v>1474</v>
      </c>
      <c r="O22">
        <v>1367</v>
      </c>
      <c r="P22">
        <v>1367</v>
      </c>
    </row>
    <row r="23" spans="1:16">
      <c r="A23" t="s">
        <v>40</v>
      </c>
      <c r="B23" t="s">
        <v>49</v>
      </c>
      <c r="C23" t="s">
        <v>49</v>
      </c>
      <c r="D23" t="s">
        <v>79</v>
      </c>
      <c r="E23">
        <v>0.125</v>
      </c>
      <c r="F23">
        <v>0.9</v>
      </c>
      <c r="G23">
        <v>521</v>
      </c>
      <c r="H23">
        <v>521</v>
      </c>
      <c r="I23">
        <v>521</v>
      </c>
      <c r="J23" s="2">
        <v>485</v>
      </c>
      <c r="K23" s="2">
        <v>448</v>
      </c>
      <c r="L23" s="2">
        <v>421</v>
      </c>
      <c r="M23" s="2">
        <v>406</v>
      </c>
      <c r="N23" s="2">
        <v>391</v>
      </c>
      <c r="O23" s="2">
        <v>376</v>
      </c>
      <c r="P23" s="2">
        <v>376</v>
      </c>
    </row>
    <row r="24" spans="1:16">
      <c r="A24" t="s">
        <v>17</v>
      </c>
      <c r="B24" t="s">
        <v>41</v>
      </c>
      <c r="C24" t="s">
        <v>41</v>
      </c>
      <c r="D24" t="s">
        <v>79</v>
      </c>
      <c r="E24">
        <v>0.1</v>
      </c>
      <c r="F24">
        <v>0.25</v>
      </c>
      <c r="G24">
        <v>4403</v>
      </c>
      <c r="H24">
        <v>4403</v>
      </c>
      <c r="I24">
        <v>4403</v>
      </c>
      <c r="J24">
        <v>2798</v>
      </c>
      <c r="K24">
        <v>1946</v>
      </c>
      <c r="L24">
        <v>1477</v>
      </c>
      <c r="M24">
        <v>1192</v>
      </c>
      <c r="N24">
        <v>1091</v>
      </c>
      <c r="O24">
        <v>1024</v>
      </c>
      <c r="P24">
        <v>1024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O24"/>
  <sheetViews>
    <sheetView zoomScale="115" zoomScaleNormal="115" zoomScalePageLayoutView="115" workbookViewId="0"/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5" width="13.1640625" bestFit="1" customWidth="1"/>
    <col min="6" max="14" width="6.83203125" customWidth="1"/>
  </cols>
  <sheetData>
    <row r="1" spans="1:15">
      <c r="A1" t="s">
        <v>129</v>
      </c>
    </row>
    <row r="2" spans="1:15">
      <c r="A2" t="s">
        <v>9</v>
      </c>
      <c r="B2" t="s">
        <v>10</v>
      </c>
      <c r="C2" t="s">
        <v>0</v>
      </c>
      <c r="D2" t="s">
        <v>82</v>
      </c>
      <c r="E2" t="s">
        <v>96</v>
      </c>
      <c r="F2">
        <v>1971</v>
      </c>
      <c r="G2">
        <v>1990</v>
      </c>
      <c r="H2">
        <v>2005</v>
      </c>
      <c r="I2">
        <v>2020</v>
      </c>
      <c r="J2">
        <v>2035</v>
      </c>
      <c r="K2">
        <v>2050</v>
      </c>
      <c r="L2">
        <v>2065</v>
      </c>
      <c r="M2">
        <v>2080</v>
      </c>
      <c r="N2">
        <v>2095</v>
      </c>
      <c r="O2">
        <v>2100</v>
      </c>
    </row>
    <row r="3" spans="1:15">
      <c r="A3" t="s">
        <v>40</v>
      </c>
      <c r="B3" t="s">
        <v>4</v>
      </c>
      <c r="C3" t="s">
        <v>52</v>
      </c>
      <c r="D3" t="s">
        <v>81</v>
      </c>
      <c r="E3">
        <v>0.8</v>
      </c>
      <c r="F3" s="3">
        <v>8.83</v>
      </c>
      <c r="G3" s="3">
        <v>8.83</v>
      </c>
      <c r="H3" s="3">
        <v>8.83</v>
      </c>
      <c r="I3" s="3">
        <v>8.83</v>
      </c>
      <c r="J3" s="3">
        <v>8.31</v>
      </c>
      <c r="K3" s="3">
        <v>7.83</v>
      </c>
      <c r="L3" s="3">
        <v>7.37</v>
      </c>
      <c r="M3" s="3">
        <v>6.94</v>
      </c>
      <c r="N3" s="3">
        <v>6.54</v>
      </c>
      <c r="O3" s="3">
        <f>N3</f>
        <v>6.54</v>
      </c>
    </row>
    <row r="4" spans="1:15">
      <c r="A4" t="s">
        <v>40</v>
      </c>
      <c r="B4" t="s">
        <v>4</v>
      </c>
      <c r="C4" t="s">
        <v>53</v>
      </c>
      <c r="D4" t="s">
        <v>81</v>
      </c>
      <c r="E4">
        <v>0.8</v>
      </c>
      <c r="F4" s="3">
        <v>12.4</v>
      </c>
      <c r="G4" s="3">
        <v>12.4</v>
      </c>
      <c r="H4" s="3">
        <v>12.4</v>
      </c>
      <c r="I4" s="3">
        <v>12.4</v>
      </c>
      <c r="J4" s="3">
        <v>11.57</v>
      </c>
      <c r="K4" s="3">
        <v>10.42</v>
      </c>
      <c r="L4" s="3">
        <v>10.36</v>
      </c>
      <c r="M4" s="3">
        <v>10.029999999999999</v>
      </c>
      <c r="N4" s="3">
        <v>9.92</v>
      </c>
      <c r="O4" s="3">
        <f t="shared" ref="O4:O22" si="0">N4</f>
        <v>9.92</v>
      </c>
    </row>
    <row r="5" spans="1:15">
      <c r="A5" t="s">
        <v>40</v>
      </c>
      <c r="B5" t="s">
        <v>4</v>
      </c>
      <c r="C5" t="s">
        <v>55</v>
      </c>
      <c r="D5" t="s">
        <v>81</v>
      </c>
      <c r="E5">
        <v>0.8</v>
      </c>
      <c r="F5" s="3">
        <v>14.22</v>
      </c>
      <c r="G5" s="3">
        <v>14.22</v>
      </c>
      <c r="H5" s="3">
        <v>14.22</v>
      </c>
      <c r="I5" s="3">
        <v>14.22</v>
      </c>
      <c r="J5" s="3">
        <v>13.14</v>
      </c>
      <c r="K5" s="3">
        <v>11.79</v>
      </c>
      <c r="L5" s="3">
        <v>11.69</v>
      </c>
      <c r="M5" s="3">
        <v>11.32</v>
      </c>
      <c r="N5" s="3">
        <v>11.2</v>
      </c>
      <c r="O5" s="3">
        <f t="shared" si="0"/>
        <v>11.2</v>
      </c>
    </row>
    <row r="6" spans="1:15">
      <c r="A6" t="s">
        <v>40</v>
      </c>
      <c r="B6" t="s">
        <v>43</v>
      </c>
      <c r="C6" t="s">
        <v>56</v>
      </c>
      <c r="D6" t="s">
        <v>81</v>
      </c>
      <c r="E6">
        <v>0.8</v>
      </c>
      <c r="F6" s="3">
        <v>3.63</v>
      </c>
      <c r="G6" s="3">
        <v>3.63</v>
      </c>
      <c r="H6" s="3">
        <v>3.63</v>
      </c>
      <c r="I6" s="3">
        <v>3.75</v>
      </c>
      <c r="J6" s="3">
        <v>3.53</v>
      </c>
      <c r="K6" s="3">
        <v>3.33</v>
      </c>
      <c r="L6" s="3">
        <v>3.13</v>
      </c>
      <c r="M6" s="3">
        <v>2.95</v>
      </c>
      <c r="N6" s="3">
        <v>2.78</v>
      </c>
      <c r="O6" s="3">
        <f t="shared" si="0"/>
        <v>2.78</v>
      </c>
    </row>
    <row r="7" spans="1:15">
      <c r="A7" t="s">
        <v>40</v>
      </c>
      <c r="B7" t="s">
        <v>43</v>
      </c>
      <c r="C7" t="s">
        <v>54</v>
      </c>
      <c r="D7" t="s">
        <v>81</v>
      </c>
      <c r="E7">
        <v>0.8</v>
      </c>
      <c r="F7" s="3">
        <v>3.88</v>
      </c>
      <c r="G7" s="3">
        <v>3.88</v>
      </c>
      <c r="H7" s="3">
        <v>3.88</v>
      </c>
      <c r="I7" s="3">
        <v>3.88</v>
      </c>
      <c r="J7" s="3">
        <v>3.54</v>
      </c>
      <c r="K7" s="3">
        <v>3.26</v>
      </c>
      <c r="L7" s="3">
        <v>3.21</v>
      </c>
      <c r="M7" s="3">
        <v>3.13</v>
      </c>
      <c r="N7" s="3">
        <v>3.1</v>
      </c>
      <c r="O7" s="3">
        <f t="shared" si="0"/>
        <v>3.1</v>
      </c>
    </row>
    <row r="8" spans="1:15">
      <c r="A8" t="s">
        <v>40</v>
      </c>
      <c r="B8" t="s">
        <v>43</v>
      </c>
      <c r="C8" t="s">
        <v>57</v>
      </c>
      <c r="D8" t="s">
        <v>81</v>
      </c>
      <c r="E8">
        <v>0.8</v>
      </c>
      <c r="F8" s="3">
        <v>4.29</v>
      </c>
      <c r="G8" s="3">
        <v>4.29</v>
      </c>
      <c r="H8" s="3">
        <v>4.29</v>
      </c>
      <c r="I8" s="3">
        <v>4.29</v>
      </c>
      <c r="J8" s="3">
        <v>3.9</v>
      </c>
      <c r="K8" s="3">
        <v>3.56</v>
      </c>
      <c r="L8" s="3">
        <v>3.5</v>
      </c>
      <c r="M8" s="3">
        <v>3.41</v>
      </c>
      <c r="N8" s="3">
        <v>3.38</v>
      </c>
      <c r="O8" s="3">
        <f t="shared" si="0"/>
        <v>3.38</v>
      </c>
    </row>
    <row r="9" spans="1:15">
      <c r="A9" t="s">
        <v>40</v>
      </c>
      <c r="B9" t="s">
        <v>44</v>
      </c>
      <c r="C9" t="s">
        <v>58</v>
      </c>
      <c r="D9" t="s">
        <v>81</v>
      </c>
      <c r="E9">
        <v>0.8</v>
      </c>
      <c r="F9" s="3">
        <v>3.63</v>
      </c>
      <c r="G9" s="3">
        <v>3.63</v>
      </c>
      <c r="H9" s="3">
        <v>3.63</v>
      </c>
      <c r="I9" s="3">
        <v>3.75</v>
      </c>
      <c r="J9" s="3">
        <v>3.53</v>
      </c>
      <c r="K9" s="3">
        <v>3.33</v>
      </c>
      <c r="L9" s="3">
        <v>3.13</v>
      </c>
      <c r="M9" s="3">
        <v>2.95</v>
      </c>
      <c r="N9" s="3">
        <v>2.78</v>
      </c>
      <c r="O9" s="3">
        <f t="shared" si="0"/>
        <v>2.78</v>
      </c>
    </row>
    <row r="10" spans="1:15">
      <c r="A10" t="s">
        <v>40</v>
      </c>
      <c r="B10" t="s">
        <v>44</v>
      </c>
      <c r="C10" t="s">
        <v>59</v>
      </c>
      <c r="D10" t="s">
        <v>81</v>
      </c>
      <c r="E10">
        <v>0.8</v>
      </c>
      <c r="F10" s="3">
        <v>11.16</v>
      </c>
      <c r="G10" s="3">
        <v>11.16</v>
      </c>
      <c r="H10" s="3">
        <v>11.16</v>
      </c>
      <c r="I10" s="3">
        <v>11.16</v>
      </c>
      <c r="J10" s="3">
        <v>10.199999999999999</v>
      </c>
      <c r="K10" s="3">
        <v>9.3699999999999992</v>
      </c>
      <c r="L10" s="3">
        <v>9.24</v>
      </c>
      <c r="M10" s="3">
        <v>9.01</v>
      </c>
      <c r="N10" s="3">
        <v>8.93</v>
      </c>
      <c r="O10" s="3">
        <f t="shared" si="0"/>
        <v>8.93</v>
      </c>
    </row>
    <row r="11" spans="1:15">
      <c r="A11" t="s">
        <v>40</v>
      </c>
      <c r="B11" t="s">
        <v>44</v>
      </c>
      <c r="C11" t="s">
        <v>60</v>
      </c>
      <c r="D11" t="s">
        <v>81</v>
      </c>
      <c r="E11">
        <v>0.8</v>
      </c>
      <c r="F11" s="3">
        <v>12.02</v>
      </c>
      <c r="G11" s="3">
        <v>12.02</v>
      </c>
      <c r="H11" s="3">
        <v>12.02</v>
      </c>
      <c r="I11" s="3">
        <v>12.02</v>
      </c>
      <c r="J11" s="3">
        <v>10.93</v>
      </c>
      <c r="K11" s="3">
        <v>10.01</v>
      </c>
      <c r="L11" s="3">
        <v>9.86</v>
      </c>
      <c r="M11" s="3">
        <v>9.6</v>
      </c>
      <c r="N11" s="3">
        <v>9.51</v>
      </c>
      <c r="O11" s="3">
        <f t="shared" si="0"/>
        <v>9.51</v>
      </c>
    </row>
    <row r="12" spans="1:15">
      <c r="A12" t="s">
        <v>40</v>
      </c>
      <c r="B12" t="s">
        <v>3</v>
      </c>
      <c r="C12" t="s">
        <v>61</v>
      </c>
      <c r="D12" t="s">
        <v>81</v>
      </c>
      <c r="E12">
        <v>0.8</v>
      </c>
      <c r="F12" s="3">
        <v>9.09</v>
      </c>
      <c r="G12" s="3">
        <v>9.09</v>
      </c>
      <c r="H12" s="3">
        <v>9.09</v>
      </c>
      <c r="I12" s="3">
        <v>9.09</v>
      </c>
      <c r="J12" s="3">
        <v>8.56</v>
      </c>
      <c r="K12" s="3">
        <v>8.06</v>
      </c>
      <c r="L12" s="3">
        <v>7.59</v>
      </c>
      <c r="M12" s="3">
        <v>7.15</v>
      </c>
      <c r="N12" s="3">
        <v>6.73</v>
      </c>
      <c r="O12" s="3">
        <f t="shared" si="0"/>
        <v>6.73</v>
      </c>
    </row>
    <row r="13" spans="1:15">
      <c r="A13" t="s">
        <v>40</v>
      </c>
      <c r="B13" t="s">
        <v>3</v>
      </c>
      <c r="C13" t="s">
        <v>62</v>
      </c>
      <c r="D13" t="s">
        <v>81</v>
      </c>
      <c r="E13">
        <v>0.8</v>
      </c>
      <c r="F13" s="3">
        <v>12.77</v>
      </c>
      <c r="G13" s="3">
        <v>12.77</v>
      </c>
      <c r="H13" s="3">
        <v>12.77</v>
      </c>
      <c r="I13" s="3">
        <v>12.77</v>
      </c>
      <c r="J13" s="3">
        <v>11.91</v>
      </c>
      <c r="K13" s="3">
        <v>10.73</v>
      </c>
      <c r="L13" s="3">
        <v>10.67</v>
      </c>
      <c r="M13" s="3">
        <v>10.33</v>
      </c>
      <c r="N13" s="3">
        <v>10.220000000000001</v>
      </c>
      <c r="O13" s="3">
        <f t="shared" si="0"/>
        <v>10.220000000000001</v>
      </c>
    </row>
    <row r="14" spans="1:15">
      <c r="A14" t="s">
        <v>40</v>
      </c>
      <c r="B14" t="s">
        <v>3</v>
      </c>
      <c r="C14" t="s">
        <v>63</v>
      </c>
      <c r="D14" t="s">
        <v>81</v>
      </c>
      <c r="E14">
        <v>0.8</v>
      </c>
      <c r="F14" s="3">
        <v>14.33</v>
      </c>
      <c r="G14" s="3">
        <v>14.33</v>
      </c>
      <c r="H14" s="3">
        <v>14.33</v>
      </c>
      <c r="I14" s="3">
        <v>14.33</v>
      </c>
      <c r="J14" s="3">
        <v>13.26</v>
      </c>
      <c r="K14" s="3">
        <v>11.9</v>
      </c>
      <c r="L14" s="3">
        <v>11.81</v>
      </c>
      <c r="M14" s="3">
        <v>11.44</v>
      </c>
      <c r="N14" s="3">
        <v>11.31</v>
      </c>
      <c r="O14" s="3">
        <f t="shared" si="0"/>
        <v>11.31</v>
      </c>
    </row>
    <row r="15" spans="1:15">
      <c r="A15" t="s">
        <v>40</v>
      </c>
      <c r="B15" t="s">
        <v>45</v>
      </c>
      <c r="C15" t="s">
        <v>64</v>
      </c>
      <c r="D15" t="s">
        <v>81</v>
      </c>
      <c r="E15">
        <v>0.9</v>
      </c>
      <c r="F15" s="3">
        <v>22.02</v>
      </c>
      <c r="G15" s="3">
        <v>22.02</v>
      </c>
      <c r="H15" s="3">
        <v>22.02</v>
      </c>
      <c r="I15" s="3">
        <v>22.02</v>
      </c>
      <c r="J15" s="3">
        <v>22.02</v>
      </c>
      <c r="K15" s="3">
        <v>22.02</v>
      </c>
      <c r="L15" s="3">
        <v>22.02</v>
      </c>
      <c r="M15" s="3">
        <v>22.02</v>
      </c>
      <c r="N15" s="3">
        <v>22.02</v>
      </c>
      <c r="O15" s="3">
        <v>22.02</v>
      </c>
    </row>
    <row r="16" spans="1:15">
      <c r="A16" t="s">
        <v>40</v>
      </c>
      <c r="B16" t="s">
        <v>45</v>
      </c>
      <c r="C16" t="s">
        <v>65</v>
      </c>
      <c r="D16" t="s">
        <v>81</v>
      </c>
      <c r="E16">
        <v>0.9</v>
      </c>
      <c r="F16" s="3">
        <v>21.77</v>
      </c>
      <c r="G16" s="3">
        <v>21.77</v>
      </c>
      <c r="H16" s="3">
        <v>21.77</v>
      </c>
      <c r="I16" s="3">
        <v>21.77</v>
      </c>
      <c r="J16" s="3">
        <v>21.41</v>
      </c>
      <c r="K16" s="3">
        <v>21.09</v>
      </c>
      <c r="L16" s="3">
        <v>20.77</v>
      </c>
      <c r="M16" s="3">
        <v>20.5</v>
      </c>
      <c r="N16" s="3">
        <v>20.190000000000001</v>
      </c>
      <c r="O16" s="3">
        <f t="shared" si="0"/>
        <v>20.190000000000001</v>
      </c>
    </row>
    <row r="17" spans="1:15">
      <c r="A17" t="s">
        <v>40</v>
      </c>
      <c r="B17" t="s">
        <v>47</v>
      </c>
      <c r="C17" t="s">
        <v>47</v>
      </c>
      <c r="D17" t="s">
        <v>81</v>
      </c>
      <c r="E17">
        <v>0.45</v>
      </c>
      <c r="F17" s="3">
        <v>3.75</v>
      </c>
      <c r="G17" s="3">
        <v>3.75</v>
      </c>
      <c r="H17" s="3">
        <v>3.75</v>
      </c>
      <c r="I17" s="3">
        <v>3.75</v>
      </c>
      <c r="J17" s="3">
        <v>3.61</v>
      </c>
      <c r="K17" s="3">
        <v>3.48</v>
      </c>
      <c r="L17" s="3">
        <v>3.35</v>
      </c>
      <c r="M17" s="3">
        <v>3.22</v>
      </c>
      <c r="N17" s="3">
        <v>3.1</v>
      </c>
      <c r="O17" s="3">
        <f t="shared" si="0"/>
        <v>3.1</v>
      </c>
    </row>
    <row r="18" spans="1:15">
      <c r="A18" t="s">
        <v>40</v>
      </c>
      <c r="B18" t="s">
        <v>47</v>
      </c>
      <c r="C18" t="s">
        <v>66</v>
      </c>
      <c r="D18" t="s">
        <v>81</v>
      </c>
      <c r="E18">
        <v>0.45</v>
      </c>
      <c r="F18" s="3">
        <v>8.6300000000000008</v>
      </c>
      <c r="G18" s="3">
        <v>8.6300000000000008</v>
      </c>
      <c r="H18" s="3">
        <v>8.6300000000000008</v>
      </c>
      <c r="I18" s="3">
        <v>8.6300000000000008</v>
      </c>
      <c r="J18" s="3">
        <v>8.49</v>
      </c>
      <c r="K18" s="3">
        <v>8.36</v>
      </c>
      <c r="L18" s="3">
        <v>8.23</v>
      </c>
      <c r="M18" s="3">
        <v>8.11</v>
      </c>
      <c r="N18" s="3">
        <v>7.99</v>
      </c>
      <c r="O18" s="3">
        <f t="shared" si="0"/>
        <v>7.99</v>
      </c>
    </row>
    <row r="19" spans="1:15">
      <c r="A19" t="s">
        <v>40</v>
      </c>
      <c r="B19" t="s">
        <v>48</v>
      </c>
      <c r="C19" t="s">
        <v>67</v>
      </c>
      <c r="D19" t="s">
        <v>81</v>
      </c>
      <c r="E19">
        <v>0.25</v>
      </c>
      <c r="F19" s="3">
        <v>8.93</v>
      </c>
      <c r="G19" s="3">
        <v>8.93</v>
      </c>
      <c r="H19" s="3">
        <v>8.93</v>
      </c>
      <c r="I19" s="3">
        <v>8.93</v>
      </c>
      <c r="J19" s="3">
        <v>7.14</v>
      </c>
      <c r="K19" s="3">
        <v>6.43</v>
      </c>
      <c r="L19" s="3">
        <v>5.71</v>
      </c>
      <c r="M19" s="3">
        <v>5.36</v>
      </c>
      <c r="N19" s="3">
        <v>5.36</v>
      </c>
      <c r="O19" s="3">
        <f t="shared" si="0"/>
        <v>5.36</v>
      </c>
    </row>
    <row r="20" spans="1:15">
      <c r="A20" t="s">
        <v>40</v>
      </c>
      <c r="B20" t="s">
        <v>48</v>
      </c>
      <c r="C20" t="s">
        <v>68</v>
      </c>
      <c r="D20" t="s">
        <v>81</v>
      </c>
      <c r="E20">
        <v>0.25</v>
      </c>
      <c r="F20" s="3">
        <v>17.420000000000002</v>
      </c>
      <c r="G20" s="3">
        <v>17.420000000000002</v>
      </c>
      <c r="H20" s="3">
        <v>17.420000000000002</v>
      </c>
      <c r="I20" s="3">
        <v>16.23</v>
      </c>
      <c r="J20" s="3">
        <v>13.66</v>
      </c>
      <c r="K20" s="3">
        <v>12.48</v>
      </c>
      <c r="L20" s="3">
        <v>11.54</v>
      </c>
      <c r="M20" s="3">
        <v>10.97</v>
      </c>
      <c r="N20" s="3">
        <v>10.76</v>
      </c>
      <c r="O20" s="3">
        <f t="shared" si="0"/>
        <v>10.76</v>
      </c>
    </row>
    <row r="21" spans="1:15">
      <c r="A21" t="s">
        <v>40</v>
      </c>
      <c r="B21" t="s">
        <v>48</v>
      </c>
      <c r="C21" t="s">
        <v>69</v>
      </c>
      <c r="D21" t="s">
        <v>81</v>
      </c>
      <c r="E21">
        <v>0.31</v>
      </c>
      <c r="F21" s="3">
        <v>16.62</v>
      </c>
      <c r="G21" s="3">
        <v>16.62</v>
      </c>
      <c r="H21" s="3">
        <v>16.62</v>
      </c>
      <c r="I21" s="3">
        <v>15.42</v>
      </c>
      <c r="J21" s="3">
        <v>14.3</v>
      </c>
      <c r="K21" s="3">
        <v>13.26</v>
      </c>
      <c r="L21" s="3">
        <v>12.3</v>
      </c>
      <c r="M21" s="3">
        <v>11.41</v>
      </c>
      <c r="N21" s="3">
        <v>10.59</v>
      </c>
      <c r="O21" s="3">
        <f t="shared" si="0"/>
        <v>10.59</v>
      </c>
    </row>
    <row r="22" spans="1:15">
      <c r="A22" t="s">
        <v>40</v>
      </c>
      <c r="B22" t="s">
        <v>48</v>
      </c>
      <c r="C22" t="s">
        <v>70</v>
      </c>
      <c r="D22" t="s">
        <v>81</v>
      </c>
      <c r="E22">
        <v>0.73</v>
      </c>
      <c r="F22" s="3">
        <v>16.62</v>
      </c>
      <c r="G22" s="3">
        <v>16.62</v>
      </c>
      <c r="H22" s="3">
        <v>16.62</v>
      </c>
      <c r="I22" s="3">
        <v>15.42</v>
      </c>
      <c r="J22" s="3">
        <v>14.3</v>
      </c>
      <c r="K22" s="3">
        <v>13.26</v>
      </c>
      <c r="L22" s="3">
        <v>12.3</v>
      </c>
      <c r="M22" s="3">
        <v>11.41</v>
      </c>
      <c r="N22" s="3">
        <v>10.59</v>
      </c>
      <c r="O22" s="3">
        <f t="shared" si="0"/>
        <v>10.59</v>
      </c>
    </row>
    <row r="23" spans="1:15">
      <c r="A23" t="s">
        <v>40</v>
      </c>
      <c r="B23" t="s">
        <v>49</v>
      </c>
      <c r="C23" t="s">
        <v>49</v>
      </c>
      <c r="D23" t="s">
        <v>81</v>
      </c>
      <c r="E23">
        <v>0.9</v>
      </c>
      <c r="F23" s="3">
        <v>23.54</v>
      </c>
      <c r="G23" s="3">
        <v>23.54</v>
      </c>
      <c r="H23" s="3">
        <v>23.54</v>
      </c>
      <c r="I23" s="3">
        <v>21.91</v>
      </c>
      <c r="J23" s="3">
        <v>20.239999999999998</v>
      </c>
      <c r="K23" s="3">
        <v>19.02</v>
      </c>
      <c r="L23" s="3">
        <v>18.34</v>
      </c>
      <c r="M23" s="3">
        <v>17.670000000000002</v>
      </c>
      <c r="N23" s="3">
        <v>16.989999999999998</v>
      </c>
      <c r="O23" s="3">
        <v>16.989999999999998</v>
      </c>
    </row>
    <row r="24" spans="1:15">
      <c r="A24" t="s">
        <v>17</v>
      </c>
      <c r="B24" t="s">
        <v>41</v>
      </c>
      <c r="C24" t="s">
        <v>41</v>
      </c>
      <c r="D24" t="s">
        <v>81</v>
      </c>
      <c r="E24">
        <v>0.25</v>
      </c>
      <c r="F24" s="3">
        <v>46.77</v>
      </c>
      <c r="G24" s="3">
        <v>46.77</v>
      </c>
      <c r="H24" s="3">
        <v>46.77</v>
      </c>
      <c r="I24" s="3">
        <v>22.49</v>
      </c>
      <c r="J24" s="3">
        <v>17.3</v>
      </c>
      <c r="K24" s="3">
        <v>12.48</v>
      </c>
      <c r="L24" s="3">
        <v>8</v>
      </c>
      <c r="M24" s="3">
        <v>7.69</v>
      </c>
      <c r="N24" s="3">
        <v>7.4</v>
      </c>
      <c r="O24" s="3">
        <v>7.4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N18"/>
  <sheetViews>
    <sheetView zoomScale="115" zoomScaleNormal="115" zoomScalePageLayoutView="115" workbookViewId="0">
      <selection activeCell="A2" sqref="A2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14" width="6.83203125" customWidth="1"/>
  </cols>
  <sheetData>
    <row r="1" spans="1:14">
      <c r="A1" t="s">
        <v>130</v>
      </c>
    </row>
    <row r="2" spans="1:14">
      <c r="A2" t="s">
        <v>9</v>
      </c>
      <c r="B2" t="s">
        <v>10</v>
      </c>
      <c r="C2" t="s">
        <v>0</v>
      </c>
      <c r="D2" t="s">
        <v>83</v>
      </c>
      <c r="E2">
        <v>1971</v>
      </c>
      <c r="F2">
        <v>1990</v>
      </c>
      <c r="G2">
        <v>2005</v>
      </c>
      <c r="H2">
        <v>2020</v>
      </c>
      <c r="I2">
        <v>2035</v>
      </c>
      <c r="J2">
        <v>2050</v>
      </c>
      <c r="K2">
        <v>2065</v>
      </c>
      <c r="L2">
        <v>2080</v>
      </c>
      <c r="M2">
        <v>2095</v>
      </c>
      <c r="N2">
        <v>2100</v>
      </c>
    </row>
    <row r="3" spans="1:14">
      <c r="A3" t="s">
        <v>40</v>
      </c>
      <c r="B3" t="s">
        <v>4</v>
      </c>
      <c r="C3" t="s">
        <v>52</v>
      </c>
      <c r="D3" t="s">
        <v>84</v>
      </c>
      <c r="E3" s="3">
        <v>1.472</v>
      </c>
      <c r="F3" s="3">
        <v>1.472</v>
      </c>
      <c r="G3" s="3">
        <v>1.472</v>
      </c>
      <c r="H3" s="3">
        <v>1.472</v>
      </c>
      <c r="I3" s="3">
        <v>1.3859999999999999</v>
      </c>
      <c r="J3" s="3">
        <v>1.3049999999999999</v>
      </c>
      <c r="K3" s="3">
        <v>1.2290000000000001</v>
      </c>
      <c r="L3" s="3">
        <v>1.157</v>
      </c>
      <c r="M3" s="3">
        <v>1.0900000000000001</v>
      </c>
      <c r="N3" s="3">
        <f t="shared" ref="N3:N18" si="0">M3</f>
        <v>1.0900000000000001</v>
      </c>
    </row>
    <row r="4" spans="1:14">
      <c r="A4" t="s">
        <v>40</v>
      </c>
      <c r="B4" t="s">
        <v>4</v>
      </c>
      <c r="C4" t="s">
        <v>53</v>
      </c>
      <c r="D4" t="s">
        <v>84</v>
      </c>
      <c r="E4" s="3">
        <v>0.93700000000000006</v>
      </c>
      <c r="F4" s="3">
        <v>0.93700000000000006</v>
      </c>
      <c r="G4" s="3">
        <v>0.93700000000000006</v>
      </c>
      <c r="H4" s="3">
        <v>0.93700000000000006</v>
      </c>
      <c r="I4" s="3">
        <v>0.874</v>
      </c>
      <c r="J4" s="3">
        <v>0.78700000000000003</v>
      </c>
      <c r="K4" s="3">
        <v>0.78300000000000003</v>
      </c>
      <c r="L4" s="3">
        <v>0.75800000000000001</v>
      </c>
      <c r="M4" s="3">
        <v>0.75</v>
      </c>
      <c r="N4" s="3">
        <f t="shared" si="0"/>
        <v>0.75</v>
      </c>
    </row>
    <row r="5" spans="1:14">
      <c r="A5" t="s">
        <v>40</v>
      </c>
      <c r="B5" t="s">
        <v>4</v>
      </c>
      <c r="C5" t="s">
        <v>55</v>
      </c>
      <c r="D5" t="s">
        <v>84</v>
      </c>
      <c r="E5" s="3">
        <v>1.718</v>
      </c>
      <c r="F5" s="3">
        <v>1.718</v>
      </c>
      <c r="G5" s="3">
        <v>1.718</v>
      </c>
      <c r="H5" s="3">
        <v>1.718</v>
      </c>
      <c r="I5" s="3">
        <v>1.548</v>
      </c>
      <c r="J5" s="3">
        <v>1.3740000000000001</v>
      </c>
      <c r="K5" s="3">
        <v>1.3520000000000001</v>
      </c>
      <c r="L5" s="3">
        <v>1.31</v>
      </c>
      <c r="M5" s="3">
        <v>1.296</v>
      </c>
      <c r="N5" s="3">
        <f t="shared" si="0"/>
        <v>1.296</v>
      </c>
    </row>
    <row r="6" spans="1:14">
      <c r="A6" t="s">
        <v>40</v>
      </c>
      <c r="B6" t="s">
        <v>43</v>
      </c>
      <c r="C6" t="s">
        <v>56</v>
      </c>
      <c r="D6" t="s">
        <v>84</v>
      </c>
      <c r="E6" s="3">
        <v>1.08</v>
      </c>
      <c r="F6" s="3">
        <v>1.08</v>
      </c>
      <c r="G6" s="3">
        <v>1.08</v>
      </c>
      <c r="H6" s="3">
        <v>1.1160000000000001</v>
      </c>
      <c r="I6" s="3">
        <v>1.0509999999999999</v>
      </c>
      <c r="J6" s="3">
        <v>0.99</v>
      </c>
      <c r="K6" s="3">
        <v>0.93200000000000005</v>
      </c>
      <c r="L6" s="3">
        <v>0.878</v>
      </c>
      <c r="M6" s="3">
        <v>0.82699999999999996</v>
      </c>
      <c r="N6" s="3">
        <f t="shared" si="0"/>
        <v>0.82699999999999996</v>
      </c>
    </row>
    <row r="7" spans="1:14">
      <c r="A7" t="s">
        <v>40</v>
      </c>
      <c r="B7" t="s">
        <v>43</v>
      </c>
      <c r="C7" t="s">
        <v>54</v>
      </c>
      <c r="D7" t="s">
        <v>84</v>
      </c>
      <c r="E7" s="3">
        <v>0.65200000000000002</v>
      </c>
      <c r="F7" s="3">
        <v>0.65200000000000002</v>
      </c>
      <c r="G7" s="3">
        <v>0.65200000000000002</v>
      </c>
      <c r="H7" s="3">
        <v>0.65200000000000002</v>
      </c>
      <c r="I7" s="3">
        <v>0.59599999999999997</v>
      </c>
      <c r="J7" s="3">
        <v>0.54800000000000004</v>
      </c>
      <c r="K7" s="3">
        <v>0.54</v>
      </c>
      <c r="L7" s="3">
        <v>0.52600000000000002</v>
      </c>
      <c r="M7" s="3">
        <v>0.52200000000000002</v>
      </c>
      <c r="N7" s="3">
        <f t="shared" si="0"/>
        <v>0.52200000000000002</v>
      </c>
    </row>
    <row r="8" spans="1:14">
      <c r="A8" t="s">
        <v>40</v>
      </c>
      <c r="B8" t="s">
        <v>43</v>
      </c>
      <c r="C8" t="s">
        <v>57</v>
      </c>
      <c r="D8" t="s">
        <v>84</v>
      </c>
      <c r="E8" s="3">
        <v>0.82699999999999996</v>
      </c>
      <c r="F8" s="3">
        <v>0.82699999999999996</v>
      </c>
      <c r="G8" s="3">
        <v>0.82699999999999996</v>
      </c>
      <c r="H8" s="3">
        <v>0.82699999999999996</v>
      </c>
      <c r="I8" s="3">
        <v>0.746</v>
      </c>
      <c r="J8" s="3">
        <v>0.67900000000000005</v>
      </c>
      <c r="K8" s="3">
        <v>0.66500000000000004</v>
      </c>
      <c r="L8" s="3">
        <v>0.64600000000000002</v>
      </c>
      <c r="M8" s="3">
        <v>0.64</v>
      </c>
      <c r="N8" s="3">
        <f t="shared" si="0"/>
        <v>0.64</v>
      </c>
    </row>
    <row r="9" spans="1:14">
      <c r="A9" t="s">
        <v>40</v>
      </c>
      <c r="B9" t="s">
        <v>44</v>
      </c>
      <c r="C9" t="s">
        <v>58</v>
      </c>
      <c r="D9" t="s">
        <v>84</v>
      </c>
      <c r="E9" s="3">
        <v>1.08</v>
      </c>
      <c r="F9" s="3">
        <v>1.08</v>
      </c>
      <c r="G9" s="3">
        <v>1.08</v>
      </c>
      <c r="H9" s="3">
        <v>1.1160000000000001</v>
      </c>
      <c r="I9" s="3">
        <v>1.0509999999999999</v>
      </c>
      <c r="J9" s="3">
        <v>0.99</v>
      </c>
      <c r="K9" s="3">
        <v>0.93200000000000005</v>
      </c>
      <c r="L9" s="3">
        <v>0.878</v>
      </c>
      <c r="M9" s="3">
        <v>0.82699999999999996</v>
      </c>
      <c r="N9" s="3">
        <f t="shared" si="0"/>
        <v>0.82699999999999996</v>
      </c>
    </row>
    <row r="10" spans="1:14">
      <c r="A10" t="s">
        <v>40</v>
      </c>
      <c r="B10" t="s">
        <v>44</v>
      </c>
      <c r="C10" t="s">
        <v>59</v>
      </c>
      <c r="D10" t="s">
        <v>84</v>
      </c>
      <c r="E10" s="3">
        <v>0.84299999999999997</v>
      </c>
      <c r="F10" s="3">
        <v>0.84299999999999997</v>
      </c>
      <c r="G10" s="3">
        <v>0.84299999999999997</v>
      </c>
      <c r="H10" s="3">
        <v>0.84299999999999997</v>
      </c>
      <c r="I10" s="3">
        <v>0.77100000000000002</v>
      </c>
      <c r="J10" s="3">
        <v>0.70799999999999996</v>
      </c>
      <c r="K10" s="3">
        <v>0.69799999999999995</v>
      </c>
      <c r="L10" s="3">
        <v>0.68100000000000005</v>
      </c>
      <c r="M10" s="3">
        <v>0.67500000000000004</v>
      </c>
      <c r="N10" s="3">
        <f t="shared" si="0"/>
        <v>0.67500000000000004</v>
      </c>
    </row>
    <row r="11" spans="1:14">
      <c r="A11" t="s">
        <v>40</v>
      </c>
      <c r="B11" t="s">
        <v>44</v>
      </c>
      <c r="C11" t="s">
        <v>60</v>
      </c>
      <c r="D11" t="s">
        <v>84</v>
      </c>
      <c r="E11" s="3">
        <v>1.212</v>
      </c>
      <c r="F11" s="3">
        <v>1.212</v>
      </c>
      <c r="G11" s="3">
        <v>1.212</v>
      </c>
      <c r="H11" s="3">
        <v>1.212</v>
      </c>
      <c r="I11" s="3">
        <v>1.083</v>
      </c>
      <c r="J11" s="3">
        <v>0.98199999999999998</v>
      </c>
      <c r="K11" s="3">
        <v>0.96099999999999997</v>
      </c>
      <c r="L11" s="3">
        <v>0.93400000000000005</v>
      </c>
      <c r="M11" s="3">
        <v>0.92500000000000004</v>
      </c>
      <c r="N11" s="3">
        <f t="shared" si="0"/>
        <v>0.92500000000000004</v>
      </c>
    </row>
    <row r="12" spans="1:14">
      <c r="A12" t="s">
        <v>40</v>
      </c>
      <c r="B12" t="s">
        <v>3</v>
      </c>
      <c r="C12" t="s">
        <v>61</v>
      </c>
      <c r="D12" t="s">
        <v>84</v>
      </c>
      <c r="E12" s="3">
        <v>1.4930000000000001</v>
      </c>
      <c r="F12" s="3">
        <v>1.4930000000000001</v>
      </c>
      <c r="G12" s="3">
        <v>1.4930000000000001</v>
      </c>
      <c r="H12" s="3">
        <v>1.4930000000000001</v>
      </c>
      <c r="I12" s="3">
        <v>1.4059999999999999</v>
      </c>
      <c r="J12" s="3">
        <v>1.3240000000000001</v>
      </c>
      <c r="K12" s="3">
        <v>1.2470000000000001</v>
      </c>
      <c r="L12" s="3">
        <v>1.1739999999999999</v>
      </c>
      <c r="M12" s="3">
        <v>1.105</v>
      </c>
      <c r="N12" s="3">
        <f t="shared" si="0"/>
        <v>1.105</v>
      </c>
    </row>
    <row r="13" spans="1:14">
      <c r="A13" t="s">
        <v>40</v>
      </c>
      <c r="B13" t="s">
        <v>3</v>
      </c>
      <c r="C13" t="s">
        <v>62</v>
      </c>
      <c r="D13" t="s">
        <v>84</v>
      </c>
      <c r="E13" s="3">
        <v>0.95</v>
      </c>
      <c r="F13" s="3">
        <v>0.95</v>
      </c>
      <c r="G13" s="3">
        <v>0.95</v>
      </c>
      <c r="H13" s="3">
        <v>0.95</v>
      </c>
      <c r="I13" s="3">
        <v>0.88700000000000001</v>
      </c>
      <c r="J13" s="3">
        <v>0.79800000000000004</v>
      </c>
      <c r="K13" s="3">
        <v>0.79400000000000004</v>
      </c>
      <c r="L13" s="3">
        <v>0.76900000000000002</v>
      </c>
      <c r="M13" s="3">
        <v>0.76</v>
      </c>
      <c r="N13" s="3">
        <f t="shared" si="0"/>
        <v>0.76</v>
      </c>
    </row>
    <row r="14" spans="1:14">
      <c r="A14" t="s">
        <v>40</v>
      </c>
      <c r="B14" t="s">
        <v>3</v>
      </c>
      <c r="C14" t="s">
        <v>63</v>
      </c>
      <c r="D14" t="s">
        <v>84</v>
      </c>
      <c r="E14" s="3">
        <v>1.6160000000000001</v>
      </c>
      <c r="F14" s="3">
        <v>1.6160000000000001</v>
      </c>
      <c r="G14" s="3">
        <v>1.6160000000000001</v>
      </c>
      <c r="H14" s="3">
        <v>1.6160000000000001</v>
      </c>
      <c r="I14" s="3">
        <v>1.4630000000000001</v>
      </c>
      <c r="J14" s="3">
        <v>1.3009999999999999</v>
      </c>
      <c r="K14" s="3">
        <v>1.282</v>
      </c>
      <c r="L14" s="3">
        <v>1.242</v>
      </c>
      <c r="M14" s="3">
        <v>1.228</v>
      </c>
      <c r="N14" s="3">
        <f t="shared" si="0"/>
        <v>1.228</v>
      </c>
    </row>
    <row r="15" spans="1:14">
      <c r="A15" t="s">
        <v>40</v>
      </c>
      <c r="B15" t="s">
        <v>45</v>
      </c>
      <c r="C15" t="s">
        <v>64</v>
      </c>
      <c r="D15" t="s">
        <v>84</v>
      </c>
      <c r="E15" s="3">
        <v>4.5999999999999999E-2</v>
      </c>
      <c r="F15" s="3">
        <v>4.5999999999999999E-2</v>
      </c>
      <c r="G15" s="3">
        <v>4.5999999999999999E-2</v>
      </c>
      <c r="H15" s="3">
        <v>4.5999999999999999E-2</v>
      </c>
      <c r="I15" s="3">
        <v>4.5999999999999999E-2</v>
      </c>
      <c r="J15" s="3">
        <v>4.5999999999999999E-2</v>
      </c>
      <c r="K15" s="3">
        <v>4.5999999999999999E-2</v>
      </c>
      <c r="L15" s="3">
        <v>4.5999999999999999E-2</v>
      </c>
      <c r="M15" s="3">
        <v>4.5999999999999999E-2</v>
      </c>
      <c r="N15" s="3">
        <f t="shared" si="0"/>
        <v>4.5999999999999999E-2</v>
      </c>
    </row>
    <row r="16" spans="1:14">
      <c r="A16" t="s">
        <v>40</v>
      </c>
      <c r="B16" t="s">
        <v>45</v>
      </c>
      <c r="C16" t="s">
        <v>65</v>
      </c>
      <c r="D16" t="s">
        <v>84</v>
      </c>
      <c r="E16" s="3">
        <v>0.159</v>
      </c>
      <c r="F16" s="3">
        <v>0.159</v>
      </c>
      <c r="G16" s="3">
        <v>0.159</v>
      </c>
      <c r="H16" s="3">
        <v>0.159</v>
      </c>
      <c r="I16" s="3">
        <v>0.156</v>
      </c>
      <c r="J16" s="3">
        <v>0.154</v>
      </c>
      <c r="K16" s="3">
        <v>0.151</v>
      </c>
      <c r="L16" s="3">
        <v>0.14899999999999999</v>
      </c>
      <c r="M16" s="3">
        <v>0.14699999999999999</v>
      </c>
      <c r="N16" s="3">
        <f t="shared" si="0"/>
        <v>0.14699999999999999</v>
      </c>
    </row>
    <row r="17" spans="1:14">
      <c r="A17" t="s">
        <v>40</v>
      </c>
      <c r="B17" t="s">
        <v>47</v>
      </c>
      <c r="C17" t="s">
        <v>47</v>
      </c>
      <c r="D17" t="s">
        <v>84</v>
      </c>
      <c r="E17" s="3">
        <v>2.2799999999999998</v>
      </c>
      <c r="F17" s="3">
        <v>2.2799999999999998</v>
      </c>
      <c r="G17" s="3">
        <v>2.2799999999999998</v>
      </c>
      <c r="H17" s="3">
        <v>1.498</v>
      </c>
      <c r="I17" s="3">
        <v>1.4430000000000001</v>
      </c>
      <c r="J17" s="3">
        <v>1.39</v>
      </c>
      <c r="K17" s="3">
        <v>1.339</v>
      </c>
      <c r="L17" s="3">
        <v>1.2889999999999999</v>
      </c>
      <c r="M17" s="3">
        <v>1.242</v>
      </c>
      <c r="N17" s="3">
        <f t="shared" si="0"/>
        <v>1.242</v>
      </c>
    </row>
    <row r="18" spans="1:14">
      <c r="A18" t="s">
        <v>40</v>
      </c>
      <c r="B18" t="s">
        <v>47</v>
      </c>
      <c r="C18" t="s">
        <v>66</v>
      </c>
      <c r="D18" t="s">
        <v>84</v>
      </c>
      <c r="E18" s="3">
        <v>3.9089999999999998</v>
      </c>
      <c r="F18" s="3">
        <v>3.9089999999999998</v>
      </c>
      <c r="G18" s="3">
        <v>3.9089999999999998</v>
      </c>
      <c r="H18" s="3">
        <v>3.1269999999999998</v>
      </c>
      <c r="I18" s="3">
        <v>3.0720000000000001</v>
      </c>
      <c r="J18" s="3">
        <v>3.0190000000000001</v>
      </c>
      <c r="K18" s="3">
        <v>2.968</v>
      </c>
      <c r="L18" s="3">
        <v>2.9180000000000001</v>
      </c>
      <c r="M18" s="3">
        <v>2.871</v>
      </c>
      <c r="N18" s="3">
        <f t="shared" si="0"/>
        <v>2.871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I32"/>
  <sheetViews>
    <sheetView zoomScale="115" zoomScaleNormal="115" zoomScalePageLayoutView="115" workbookViewId="0">
      <selection activeCell="D26" sqref="D26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8.1640625" bestFit="1" customWidth="1"/>
    <col min="5" max="5" width="7.5" bestFit="1" customWidth="1"/>
    <col min="6" max="6" width="13.1640625" bestFit="1" customWidth="1"/>
    <col min="7" max="7" width="7.33203125" bestFit="1" customWidth="1"/>
    <col min="8" max="8" width="9.33203125" bestFit="1" customWidth="1"/>
    <col min="9" max="9" width="14.33203125" bestFit="1" customWidth="1"/>
    <col min="10" max="14" width="5.1640625" bestFit="1" customWidth="1"/>
  </cols>
  <sheetData>
    <row r="1" spans="1:9">
      <c r="A1" t="s">
        <v>93</v>
      </c>
    </row>
    <row r="2" spans="1:9">
      <c r="A2" t="s">
        <v>9</v>
      </c>
      <c r="B2" t="s">
        <v>10</v>
      </c>
      <c r="C2" t="s">
        <v>0</v>
      </c>
      <c r="D2" t="s">
        <v>31</v>
      </c>
      <c r="E2" t="s">
        <v>34</v>
      </c>
      <c r="F2" t="s">
        <v>36</v>
      </c>
      <c r="G2" t="s">
        <v>37</v>
      </c>
      <c r="H2" t="s">
        <v>38</v>
      </c>
      <c r="I2" t="s">
        <v>39</v>
      </c>
    </row>
    <row r="3" spans="1:9">
      <c r="A3" t="s">
        <v>40</v>
      </c>
      <c r="B3" t="s">
        <v>4</v>
      </c>
      <c r="C3" t="s">
        <v>52</v>
      </c>
      <c r="D3" t="s">
        <v>25</v>
      </c>
      <c r="E3">
        <v>60</v>
      </c>
      <c r="G3">
        <f>E3/2</f>
        <v>30</v>
      </c>
      <c r="H3">
        <v>0.1</v>
      </c>
      <c r="I3">
        <v>1</v>
      </c>
    </row>
    <row r="4" spans="1:9">
      <c r="A4" t="s">
        <v>40</v>
      </c>
      <c r="B4" t="s">
        <v>43</v>
      </c>
      <c r="C4" t="s">
        <v>56</v>
      </c>
      <c r="D4" t="s">
        <v>25</v>
      </c>
      <c r="E4">
        <v>60</v>
      </c>
      <c r="G4">
        <f t="shared" ref="G4:G8" si="0">E4/2</f>
        <v>30</v>
      </c>
      <c r="H4">
        <v>0.1</v>
      </c>
      <c r="I4">
        <v>1</v>
      </c>
    </row>
    <row r="5" spans="1:9">
      <c r="A5" t="s">
        <v>40</v>
      </c>
      <c r="B5" t="s">
        <v>43</v>
      </c>
      <c r="C5" t="s">
        <v>54</v>
      </c>
      <c r="D5" t="s">
        <v>25</v>
      </c>
      <c r="E5">
        <v>60</v>
      </c>
      <c r="G5">
        <f t="shared" si="0"/>
        <v>30</v>
      </c>
      <c r="H5">
        <v>0.1</v>
      </c>
      <c r="I5">
        <v>1</v>
      </c>
    </row>
    <row r="6" spans="1:9">
      <c r="A6" t="s">
        <v>40</v>
      </c>
      <c r="B6" t="s">
        <v>44</v>
      </c>
      <c r="C6" t="s">
        <v>58</v>
      </c>
      <c r="D6" t="s">
        <v>25</v>
      </c>
      <c r="E6">
        <v>60</v>
      </c>
      <c r="G6">
        <f t="shared" si="0"/>
        <v>30</v>
      </c>
      <c r="H6">
        <v>0.1</v>
      </c>
      <c r="I6">
        <v>1</v>
      </c>
    </row>
    <row r="7" spans="1:9">
      <c r="A7" t="s">
        <v>40</v>
      </c>
      <c r="B7" t="s">
        <v>3</v>
      </c>
      <c r="C7" t="s">
        <v>61</v>
      </c>
      <c r="D7" t="s">
        <v>25</v>
      </c>
      <c r="E7">
        <v>60</v>
      </c>
      <c r="G7">
        <f t="shared" si="0"/>
        <v>30</v>
      </c>
      <c r="H7">
        <v>0.1</v>
      </c>
      <c r="I7">
        <v>1</v>
      </c>
    </row>
    <row r="8" spans="1:9">
      <c r="A8" t="s">
        <v>40</v>
      </c>
      <c r="B8" t="s">
        <v>45</v>
      </c>
      <c r="C8" t="s">
        <v>64</v>
      </c>
      <c r="D8" t="s">
        <v>124</v>
      </c>
      <c r="E8">
        <v>60</v>
      </c>
      <c r="G8">
        <f t="shared" si="0"/>
        <v>30</v>
      </c>
      <c r="H8">
        <v>0.1</v>
      </c>
      <c r="I8">
        <v>1</v>
      </c>
    </row>
    <row r="9" spans="1:9">
      <c r="A9" t="s">
        <v>40</v>
      </c>
      <c r="B9" t="s">
        <v>47</v>
      </c>
      <c r="C9" t="s">
        <v>47</v>
      </c>
      <c r="D9" t="s">
        <v>25</v>
      </c>
      <c r="E9">
        <v>30</v>
      </c>
      <c r="I9">
        <v>0</v>
      </c>
    </row>
    <row r="10" spans="1:9">
      <c r="A10" t="s">
        <v>40</v>
      </c>
      <c r="B10" t="s">
        <v>48</v>
      </c>
      <c r="C10" t="s">
        <v>67</v>
      </c>
      <c r="D10" t="s">
        <v>25</v>
      </c>
      <c r="E10">
        <v>30</v>
      </c>
      <c r="I10">
        <v>0</v>
      </c>
    </row>
    <row r="11" spans="1:9">
      <c r="A11" t="s">
        <v>40</v>
      </c>
      <c r="B11" t="s">
        <v>48</v>
      </c>
      <c r="C11" t="s">
        <v>69</v>
      </c>
      <c r="D11" t="s">
        <v>25</v>
      </c>
      <c r="E11">
        <v>30</v>
      </c>
      <c r="I11">
        <v>0</v>
      </c>
    </row>
    <row r="12" spans="1:9">
      <c r="A12" t="s">
        <v>40</v>
      </c>
      <c r="B12" t="s">
        <v>49</v>
      </c>
      <c r="C12" t="s">
        <v>49</v>
      </c>
      <c r="D12" t="s">
        <v>25</v>
      </c>
      <c r="E12">
        <v>30</v>
      </c>
      <c r="I12">
        <v>0</v>
      </c>
    </row>
    <row r="13" spans="1:9">
      <c r="A13" t="s">
        <v>40</v>
      </c>
      <c r="B13" t="s">
        <v>4</v>
      </c>
      <c r="C13" t="s">
        <v>52</v>
      </c>
      <c r="D13" t="s">
        <v>29</v>
      </c>
      <c r="E13">
        <v>60</v>
      </c>
      <c r="I13">
        <v>1</v>
      </c>
    </row>
    <row r="14" spans="1:9">
      <c r="A14" t="s">
        <v>40</v>
      </c>
      <c r="B14" t="s">
        <v>4</v>
      </c>
      <c r="C14" t="s">
        <v>53</v>
      </c>
      <c r="D14" t="s">
        <v>29</v>
      </c>
      <c r="E14">
        <v>60</v>
      </c>
      <c r="I14">
        <v>1</v>
      </c>
    </row>
    <row r="15" spans="1:9">
      <c r="A15" t="s">
        <v>40</v>
      </c>
      <c r="B15" t="s">
        <v>4</v>
      </c>
      <c r="C15" t="s">
        <v>55</v>
      </c>
      <c r="D15" t="s">
        <v>29</v>
      </c>
      <c r="E15">
        <v>60</v>
      </c>
      <c r="I15">
        <v>1</v>
      </c>
    </row>
    <row r="16" spans="1:9">
      <c r="A16" t="s">
        <v>40</v>
      </c>
      <c r="B16" t="s">
        <v>43</v>
      </c>
      <c r="C16" t="s">
        <v>56</v>
      </c>
      <c r="D16" t="s">
        <v>29</v>
      </c>
      <c r="E16">
        <v>45</v>
      </c>
      <c r="I16">
        <v>1</v>
      </c>
    </row>
    <row r="17" spans="1:9">
      <c r="A17" t="s">
        <v>40</v>
      </c>
      <c r="B17" t="s">
        <v>43</v>
      </c>
      <c r="C17" t="s">
        <v>54</v>
      </c>
      <c r="D17" t="s">
        <v>29</v>
      </c>
      <c r="E17">
        <v>45</v>
      </c>
      <c r="I17">
        <v>1</v>
      </c>
    </row>
    <row r="18" spans="1:9">
      <c r="A18" t="s">
        <v>40</v>
      </c>
      <c r="B18" t="s">
        <v>43</v>
      </c>
      <c r="C18" t="s">
        <v>57</v>
      </c>
      <c r="D18" t="s">
        <v>29</v>
      </c>
      <c r="E18">
        <v>45</v>
      </c>
      <c r="I18">
        <v>1</v>
      </c>
    </row>
    <row r="19" spans="1:9">
      <c r="A19" t="s">
        <v>40</v>
      </c>
      <c r="B19" t="s">
        <v>44</v>
      </c>
      <c r="C19" t="s">
        <v>58</v>
      </c>
      <c r="D19" t="s">
        <v>29</v>
      </c>
      <c r="E19">
        <v>45</v>
      </c>
      <c r="I19">
        <v>1</v>
      </c>
    </row>
    <row r="20" spans="1:9">
      <c r="A20" t="s">
        <v>40</v>
      </c>
      <c r="B20" t="s">
        <v>44</v>
      </c>
      <c r="C20" t="s">
        <v>59</v>
      </c>
      <c r="D20" t="s">
        <v>29</v>
      </c>
      <c r="E20">
        <v>45</v>
      </c>
      <c r="I20">
        <v>1</v>
      </c>
    </row>
    <row r="21" spans="1:9">
      <c r="A21" t="s">
        <v>40</v>
      </c>
      <c r="B21" t="s">
        <v>44</v>
      </c>
      <c r="C21" t="s">
        <v>60</v>
      </c>
      <c r="D21" t="s">
        <v>29</v>
      </c>
      <c r="E21">
        <v>45</v>
      </c>
      <c r="I21">
        <v>1</v>
      </c>
    </row>
    <row r="22" spans="1:9">
      <c r="A22" t="s">
        <v>40</v>
      </c>
      <c r="B22" t="s">
        <v>3</v>
      </c>
      <c r="C22" t="s">
        <v>61</v>
      </c>
      <c r="D22" t="s">
        <v>29</v>
      </c>
      <c r="E22">
        <v>60</v>
      </c>
      <c r="I22">
        <v>1</v>
      </c>
    </row>
    <row r="23" spans="1:9">
      <c r="A23" t="s">
        <v>40</v>
      </c>
      <c r="B23" t="s">
        <v>3</v>
      </c>
      <c r="C23" t="s">
        <v>62</v>
      </c>
      <c r="D23" t="s">
        <v>29</v>
      </c>
      <c r="E23">
        <v>60</v>
      </c>
      <c r="I23">
        <v>1</v>
      </c>
    </row>
    <row r="24" spans="1:9">
      <c r="A24" t="s">
        <v>40</v>
      </c>
      <c r="B24" t="s">
        <v>3</v>
      </c>
      <c r="C24" t="s">
        <v>63</v>
      </c>
      <c r="D24" t="s">
        <v>29</v>
      </c>
      <c r="E24">
        <v>60</v>
      </c>
      <c r="I24">
        <v>1</v>
      </c>
    </row>
    <row r="25" spans="1:9">
      <c r="A25" t="s">
        <v>40</v>
      </c>
      <c r="B25" t="s">
        <v>45</v>
      </c>
      <c r="C25" t="s">
        <v>65</v>
      </c>
      <c r="D25" t="s">
        <v>125</v>
      </c>
      <c r="E25">
        <v>60</v>
      </c>
      <c r="I25">
        <v>1</v>
      </c>
    </row>
    <row r="26" spans="1:9">
      <c r="A26" t="s">
        <v>40</v>
      </c>
      <c r="B26" t="s">
        <v>47</v>
      </c>
      <c r="C26" t="s">
        <v>47</v>
      </c>
      <c r="D26" t="s">
        <v>29</v>
      </c>
      <c r="E26">
        <v>30</v>
      </c>
      <c r="I26">
        <v>0</v>
      </c>
    </row>
    <row r="27" spans="1:9">
      <c r="A27" t="s">
        <v>40</v>
      </c>
      <c r="B27" t="s">
        <v>47</v>
      </c>
      <c r="C27" t="s">
        <v>66</v>
      </c>
      <c r="D27" t="s">
        <v>29</v>
      </c>
      <c r="E27">
        <v>30</v>
      </c>
      <c r="I27">
        <v>0</v>
      </c>
    </row>
    <row r="28" spans="1:9">
      <c r="A28" t="s">
        <v>40</v>
      </c>
      <c r="B28" t="s">
        <v>48</v>
      </c>
      <c r="C28" t="s">
        <v>67</v>
      </c>
      <c r="D28" t="s">
        <v>29</v>
      </c>
      <c r="E28">
        <v>30</v>
      </c>
      <c r="I28">
        <v>0</v>
      </c>
    </row>
    <row r="29" spans="1:9">
      <c r="A29" t="s">
        <v>40</v>
      </c>
      <c r="B29" t="s">
        <v>48</v>
      </c>
      <c r="C29" t="s">
        <v>68</v>
      </c>
      <c r="D29" t="s">
        <v>29</v>
      </c>
      <c r="E29">
        <v>30</v>
      </c>
      <c r="I29">
        <v>0</v>
      </c>
    </row>
    <row r="30" spans="1:9">
      <c r="A30" t="s">
        <v>40</v>
      </c>
      <c r="B30" t="s">
        <v>48</v>
      </c>
      <c r="C30" t="s">
        <v>69</v>
      </c>
      <c r="D30" t="s">
        <v>29</v>
      </c>
      <c r="E30">
        <v>30</v>
      </c>
      <c r="I30">
        <v>0</v>
      </c>
    </row>
    <row r="31" spans="1:9">
      <c r="A31" t="s">
        <v>40</v>
      </c>
      <c r="B31" t="s">
        <v>48</v>
      </c>
      <c r="C31" t="s">
        <v>70</v>
      </c>
      <c r="D31" t="s">
        <v>29</v>
      </c>
      <c r="E31">
        <v>30</v>
      </c>
      <c r="I31">
        <v>0</v>
      </c>
    </row>
    <row r="32" spans="1:9">
      <c r="A32" t="s">
        <v>40</v>
      </c>
      <c r="B32" t="s">
        <v>49</v>
      </c>
      <c r="C32" t="s">
        <v>49</v>
      </c>
      <c r="D32" t="s">
        <v>29</v>
      </c>
      <c r="E32">
        <v>30</v>
      </c>
      <c r="I3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I6"/>
  <sheetViews>
    <sheetView zoomScale="115" zoomScaleNormal="115" zoomScalePageLayoutView="115" workbookViewId="0">
      <selection activeCell="C27" sqref="C27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8" width="5.1640625" bestFit="1" customWidth="1"/>
  </cols>
  <sheetData>
    <row r="1" spans="1:9">
      <c r="A1" t="s">
        <v>92</v>
      </c>
    </row>
    <row r="2" spans="1:9">
      <c r="A2" t="s">
        <v>9</v>
      </c>
      <c r="B2" t="s">
        <v>10</v>
      </c>
      <c r="C2" t="s">
        <v>0</v>
      </c>
      <c r="D2">
        <v>1971</v>
      </c>
      <c r="E2">
        <v>2020</v>
      </c>
      <c r="F2">
        <v>2035</v>
      </c>
      <c r="G2">
        <v>2050</v>
      </c>
      <c r="H2">
        <v>2065</v>
      </c>
      <c r="I2">
        <v>2100</v>
      </c>
    </row>
    <row r="3" spans="1:9">
      <c r="A3" t="s">
        <v>40</v>
      </c>
      <c r="B3" t="s">
        <v>4</v>
      </c>
      <c r="C3" t="s">
        <v>55</v>
      </c>
      <c r="D3">
        <v>0.91</v>
      </c>
      <c r="E3">
        <v>0.91</v>
      </c>
      <c r="F3">
        <v>0.92</v>
      </c>
      <c r="G3">
        <v>0.93</v>
      </c>
      <c r="H3">
        <v>0.94</v>
      </c>
      <c r="I3">
        <v>0.94</v>
      </c>
    </row>
    <row r="4" spans="1:9">
      <c r="A4" t="s">
        <v>40</v>
      </c>
      <c r="B4" t="s">
        <v>43</v>
      </c>
      <c r="C4" t="s">
        <v>57</v>
      </c>
      <c r="D4">
        <v>0.91</v>
      </c>
      <c r="E4">
        <v>0.91</v>
      </c>
      <c r="F4">
        <v>0.92</v>
      </c>
      <c r="G4">
        <v>0.93</v>
      </c>
      <c r="H4">
        <v>0.94</v>
      </c>
      <c r="I4">
        <v>0.94</v>
      </c>
    </row>
    <row r="5" spans="1:9">
      <c r="A5" t="s">
        <v>40</v>
      </c>
      <c r="B5" t="s">
        <v>44</v>
      </c>
      <c r="C5" t="s">
        <v>60</v>
      </c>
      <c r="D5">
        <v>0.91</v>
      </c>
      <c r="E5">
        <v>0.91</v>
      </c>
      <c r="F5">
        <v>0.92</v>
      </c>
      <c r="G5">
        <v>0.93</v>
      </c>
      <c r="H5">
        <v>0.94</v>
      </c>
      <c r="I5">
        <v>0.94</v>
      </c>
    </row>
    <row r="6" spans="1:9">
      <c r="A6" t="s">
        <v>40</v>
      </c>
      <c r="B6" t="s">
        <v>3</v>
      </c>
      <c r="C6" t="s">
        <v>63</v>
      </c>
      <c r="D6">
        <v>0.91</v>
      </c>
      <c r="E6">
        <v>0.91</v>
      </c>
      <c r="F6">
        <v>0.92</v>
      </c>
      <c r="G6">
        <v>0.93</v>
      </c>
      <c r="H6">
        <v>0.94</v>
      </c>
      <c r="I6">
        <v>0.94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58"/>
  <sheetViews>
    <sheetView tabSelected="1" zoomScale="115" zoomScaleNormal="115" zoomScalePageLayoutView="115" workbookViewId="0">
      <selection activeCell="A2" sqref="A2"/>
    </sheetView>
  </sheetViews>
  <sheetFormatPr baseColWidth="10" defaultRowHeight="15" x14ac:dyDescent="0"/>
  <cols>
    <col min="1" max="1" width="22.33203125" customWidth="1"/>
    <col min="2" max="2" width="11.5" bestFit="1" customWidth="1"/>
    <col min="3" max="3" width="10.6640625" bestFit="1" customWidth="1"/>
    <col min="4" max="4" width="6.3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4">
      <c r="A1" t="s">
        <v>132</v>
      </c>
    </row>
    <row r="2" spans="1:4">
      <c r="A2" t="s">
        <v>107</v>
      </c>
    </row>
    <row r="3" spans="1:4">
      <c r="A3" t="s">
        <v>108</v>
      </c>
      <c r="B3" t="s">
        <v>9</v>
      </c>
      <c r="C3" t="s">
        <v>10</v>
      </c>
      <c r="D3">
        <v>2020</v>
      </c>
    </row>
    <row r="4" spans="1:4">
      <c r="A4" t="s">
        <v>109</v>
      </c>
      <c r="B4" t="s">
        <v>40</v>
      </c>
      <c r="C4" t="s">
        <v>47</v>
      </c>
      <c r="D4">
        <v>0.06</v>
      </c>
    </row>
    <row r="5" spans="1:4">
      <c r="A5" t="s">
        <v>110</v>
      </c>
      <c r="B5" t="s">
        <v>40</v>
      </c>
      <c r="C5" t="s">
        <v>47</v>
      </c>
      <c r="D5">
        <v>0.26</v>
      </c>
    </row>
    <row r="6" spans="1:4">
      <c r="A6" t="s">
        <v>111</v>
      </c>
      <c r="B6" t="s">
        <v>40</v>
      </c>
      <c r="C6" t="s">
        <v>47</v>
      </c>
      <c r="D6">
        <v>0.26</v>
      </c>
    </row>
    <row r="7" spans="1:4">
      <c r="A7" t="s">
        <v>112</v>
      </c>
      <c r="B7" t="s">
        <v>40</v>
      </c>
      <c r="C7" t="s">
        <v>47</v>
      </c>
      <c r="D7">
        <v>0.06</v>
      </c>
    </row>
    <row r="8" spans="1:4">
      <c r="A8" t="s">
        <v>113</v>
      </c>
      <c r="B8" t="s">
        <v>40</v>
      </c>
      <c r="C8" t="s">
        <v>47</v>
      </c>
      <c r="D8">
        <v>0.12</v>
      </c>
    </row>
    <row r="9" spans="1:4">
      <c r="A9" t="s">
        <v>114</v>
      </c>
      <c r="B9" t="s">
        <v>40</v>
      </c>
      <c r="C9" t="s">
        <v>47</v>
      </c>
      <c r="D9">
        <v>0.01</v>
      </c>
    </row>
    <row r="10" spans="1:4">
      <c r="A10" t="s">
        <v>115</v>
      </c>
      <c r="B10" t="s">
        <v>40</v>
      </c>
      <c r="C10" t="s">
        <v>47</v>
      </c>
      <c r="D10">
        <v>0.15</v>
      </c>
    </row>
    <row r="11" spans="1:4">
      <c r="A11" t="s">
        <v>116</v>
      </c>
      <c r="B11" t="s">
        <v>40</v>
      </c>
      <c r="C11" t="s">
        <v>47</v>
      </c>
      <c r="D11">
        <v>0.25</v>
      </c>
    </row>
    <row r="12" spans="1:4">
      <c r="A12" t="s">
        <v>117</v>
      </c>
      <c r="B12" t="s">
        <v>40</v>
      </c>
      <c r="C12" t="s">
        <v>47</v>
      </c>
      <c r="D12">
        <v>0.06</v>
      </c>
    </row>
    <row r="13" spans="1:4">
      <c r="A13" t="s">
        <v>118</v>
      </c>
      <c r="B13" t="s">
        <v>40</v>
      </c>
      <c r="C13" t="s">
        <v>47</v>
      </c>
      <c r="D13">
        <v>0.06</v>
      </c>
    </row>
    <row r="14" spans="1:4">
      <c r="A14" t="s">
        <v>119</v>
      </c>
      <c r="B14" t="s">
        <v>40</v>
      </c>
      <c r="C14" t="s">
        <v>47</v>
      </c>
      <c r="D14">
        <v>0.02</v>
      </c>
    </row>
    <row r="15" spans="1:4">
      <c r="A15" t="s">
        <v>120</v>
      </c>
      <c r="B15" t="s">
        <v>40</v>
      </c>
      <c r="C15" t="s">
        <v>47</v>
      </c>
      <c r="D15">
        <v>0.06</v>
      </c>
    </row>
    <row r="16" spans="1:4">
      <c r="A16" t="s">
        <v>121</v>
      </c>
      <c r="B16" t="s">
        <v>40</v>
      </c>
      <c r="C16" t="s">
        <v>47</v>
      </c>
      <c r="D16">
        <v>0.3</v>
      </c>
    </row>
    <row r="17" spans="1:4">
      <c r="A17" t="s">
        <v>122</v>
      </c>
      <c r="B17" t="s">
        <v>40</v>
      </c>
      <c r="C17" t="s">
        <v>47</v>
      </c>
      <c r="D17">
        <v>1.9</v>
      </c>
    </row>
    <row r="18" spans="1:4">
      <c r="A18" t="s">
        <v>109</v>
      </c>
      <c r="B18" t="s">
        <v>40</v>
      </c>
      <c r="C18" t="s">
        <v>48</v>
      </c>
      <c r="D18">
        <v>0.1</v>
      </c>
    </row>
    <row r="19" spans="1:4">
      <c r="A19" t="s">
        <v>110</v>
      </c>
      <c r="B19" t="s">
        <v>40</v>
      </c>
      <c r="C19" t="s">
        <v>48</v>
      </c>
      <c r="D19">
        <v>0.1</v>
      </c>
    </row>
    <row r="20" spans="1:4">
      <c r="A20" t="s">
        <v>111</v>
      </c>
      <c r="B20" t="s">
        <v>40</v>
      </c>
      <c r="C20" t="s">
        <v>48</v>
      </c>
      <c r="D20">
        <v>0.1</v>
      </c>
    </row>
    <row r="21" spans="1:4">
      <c r="A21" t="s">
        <v>112</v>
      </c>
      <c r="B21" t="s">
        <v>40</v>
      </c>
      <c r="C21" t="s">
        <v>48</v>
      </c>
      <c r="D21">
        <v>0.1</v>
      </c>
    </row>
    <row r="22" spans="1:4">
      <c r="A22" t="s">
        <v>113</v>
      </c>
      <c r="B22" t="s">
        <v>40</v>
      </c>
      <c r="C22" t="s">
        <v>48</v>
      </c>
      <c r="D22">
        <v>0.1</v>
      </c>
    </row>
    <row r="23" spans="1:4">
      <c r="A23" t="s">
        <v>114</v>
      </c>
      <c r="B23" t="s">
        <v>40</v>
      </c>
      <c r="C23" t="s">
        <v>48</v>
      </c>
      <c r="D23">
        <v>0.1</v>
      </c>
    </row>
    <row r="24" spans="1:4">
      <c r="A24" t="s">
        <v>115</v>
      </c>
      <c r="B24" t="s">
        <v>40</v>
      </c>
      <c r="C24" t="s">
        <v>48</v>
      </c>
      <c r="D24">
        <v>0.1</v>
      </c>
    </row>
    <row r="25" spans="1:4">
      <c r="A25" t="s">
        <v>116</v>
      </c>
      <c r="B25" t="s">
        <v>40</v>
      </c>
      <c r="C25" t="s">
        <v>48</v>
      </c>
      <c r="D25">
        <v>0.1</v>
      </c>
    </row>
    <row r="26" spans="1:4">
      <c r="A26" t="s">
        <v>117</v>
      </c>
      <c r="B26" t="s">
        <v>40</v>
      </c>
      <c r="C26" t="s">
        <v>48</v>
      </c>
      <c r="D26">
        <v>0.1</v>
      </c>
    </row>
    <row r="27" spans="1:4">
      <c r="A27" t="s">
        <v>118</v>
      </c>
      <c r="B27" t="s">
        <v>40</v>
      </c>
      <c r="C27" t="s">
        <v>48</v>
      </c>
      <c r="D27">
        <v>0.1</v>
      </c>
    </row>
    <row r="28" spans="1:4">
      <c r="A28" t="s">
        <v>119</v>
      </c>
      <c r="B28" t="s">
        <v>40</v>
      </c>
      <c r="C28" t="s">
        <v>48</v>
      </c>
      <c r="D28">
        <v>0.1</v>
      </c>
    </row>
    <row r="29" spans="1:4">
      <c r="A29" t="s">
        <v>120</v>
      </c>
      <c r="B29" t="s">
        <v>40</v>
      </c>
      <c r="C29" t="s">
        <v>48</v>
      </c>
      <c r="D29">
        <v>0.1</v>
      </c>
    </row>
    <row r="30" spans="1:4">
      <c r="A30" t="s">
        <v>121</v>
      </c>
      <c r="B30" t="s">
        <v>40</v>
      </c>
      <c r="C30" t="s">
        <v>48</v>
      </c>
      <c r="D30">
        <v>0.1</v>
      </c>
    </row>
    <row r="31" spans="1:4">
      <c r="A31" t="s">
        <v>122</v>
      </c>
      <c r="B31" t="s">
        <v>40</v>
      </c>
      <c r="C31" t="s">
        <v>48</v>
      </c>
      <c r="D31">
        <v>0.1</v>
      </c>
    </row>
    <row r="32" spans="1:4">
      <c r="A32" t="s">
        <v>109</v>
      </c>
      <c r="B32" t="s">
        <v>40</v>
      </c>
      <c r="C32" t="s">
        <v>3</v>
      </c>
      <c r="D32">
        <v>0.17</v>
      </c>
    </row>
    <row r="33" spans="1:4">
      <c r="A33" t="s">
        <v>110</v>
      </c>
      <c r="B33" t="s">
        <v>40</v>
      </c>
      <c r="C33" t="s">
        <v>3</v>
      </c>
      <c r="D33">
        <v>0.2</v>
      </c>
    </row>
    <row r="34" spans="1:4">
      <c r="A34" t="s">
        <v>111</v>
      </c>
      <c r="B34" t="s">
        <v>40</v>
      </c>
      <c r="C34" t="s">
        <v>3</v>
      </c>
      <c r="D34">
        <v>0.33</v>
      </c>
    </row>
    <row r="35" spans="1:4">
      <c r="A35" t="s">
        <v>112</v>
      </c>
      <c r="B35" t="s">
        <v>40</v>
      </c>
      <c r="C35" t="s">
        <v>3</v>
      </c>
      <c r="D35">
        <v>0.05</v>
      </c>
    </row>
    <row r="36" spans="1:4">
      <c r="A36" t="s">
        <v>113</v>
      </c>
      <c r="B36" t="s">
        <v>40</v>
      </c>
      <c r="C36" t="s">
        <v>3</v>
      </c>
      <c r="D36">
        <v>0.33</v>
      </c>
    </row>
    <row r="37" spans="1:4">
      <c r="A37" t="s">
        <v>114</v>
      </c>
      <c r="B37" t="s">
        <v>40</v>
      </c>
      <c r="C37" t="s">
        <v>3</v>
      </c>
      <c r="D37">
        <v>0.04</v>
      </c>
    </row>
    <row r="38" spans="1:4">
      <c r="A38" t="s">
        <v>115</v>
      </c>
      <c r="B38" t="s">
        <v>40</v>
      </c>
      <c r="C38" t="s">
        <v>3</v>
      </c>
      <c r="D38">
        <v>0.1</v>
      </c>
    </row>
    <row r="39" spans="1:4">
      <c r="A39" t="s">
        <v>116</v>
      </c>
      <c r="B39" t="s">
        <v>40</v>
      </c>
      <c r="C39" t="s">
        <v>3</v>
      </c>
      <c r="D39">
        <v>0.33</v>
      </c>
    </row>
    <row r="40" spans="1:4">
      <c r="A40" t="s">
        <v>117</v>
      </c>
      <c r="B40" t="s">
        <v>40</v>
      </c>
      <c r="C40" t="s">
        <v>3</v>
      </c>
      <c r="D40">
        <v>0.06</v>
      </c>
    </row>
    <row r="41" spans="1:4">
      <c r="A41" t="s">
        <v>118</v>
      </c>
      <c r="B41" t="s">
        <v>40</v>
      </c>
      <c r="C41" t="s">
        <v>3</v>
      </c>
      <c r="D41">
        <v>0.3</v>
      </c>
    </row>
    <row r="42" spans="1:4">
      <c r="A42" t="s">
        <v>119</v>
      </c>
      <c r="B42" t="s">
        <v>40</v>
      </c>
      <c r="C42" t="s">
        <v>3</v>
      </c>
      <c r="D42">
        <v>0.04</v>
      </c>
    </row>
    <row r="43" spans="1:4">
      <c r="A43" t="s">
        <v>120</v>
      </c>
      <c r="B43" t="s">
        <v>40</v>
      </c>
      <c r="C43" t="s">
        <v>3</v>
      </c>
      <c r="D43">
        <v>0.33</v>
      </c>
    </row>
    <row r="44" spans="1:4">
      <c r="A44" t="s">
        <v>121</v>
      </c>
      <c r="B44" t="s">
        <v>40</v>
      </c>
      <c r="C44" t="s">
        <v>3</v>
      </c>
      <c r="D44">
        <v>0.33</v>
      </c>
    </row>
    <row r="45" spans="1:4">
      <c r="A45" t="s">
        <v>122</v>
      </c>
      <c r="B45" t="s">
        <v>40</v>
      </c>
      <c r="C45" t="s">
        <v>3</v>
      </c>
      <c r="D45">
        <v>0.36</v>
      </c>
    </row>
    <row r="46" spans="1:4">
      <c r="A46" t="s">
        <v>109</v>
      </c>
      <c r="B46" t="s">
        <v>40</v>
      </c>
      <c r="C46" t="s">
        <v>49</v>
      </c>
      <c r="D46">
        <v>0.02</v>
      </c>
    </row>
    <row r="47" spans="1:4">
      <c r="A47" t="s">
        <v>110</v>
      </c>
      <c r="B47" t="s">
        <v>40</v>
      </c>
      <c r="C47" t="s">
        <v>49</v>
      </c>
      <c r="D47">
        <v>0.15</v>
      </c>
    </row>
    <row r="48" spans="1:4">
      <c r="A48" t="s">
        <v>111</v>
      </c>
      <c r="B48" t="s">
        <v>40</v>
      </c>
      <c r="C48" t="s">
        <v>49</v>
      </c>
      <c r="D48">
        <v>0.15</v>
      </c>
    </row>
    <row r="49" spans="1:4">
      <c r="A49" t="s">
        <v>112</v>
      </c>
      <c r="B49" t="s">
        <v>40</v>
      </c>
      <c r="C49" t="s">
        <v>49</v>
      </c>
      <c r="D49">
        <v>0.15</v>
      </c>
    </row>
    <row r="50" spans="1:4">
      <c r="A50" t="s">
        <v>113</v>
      </c>
      <c r="B50" t="s">
        <v>40</v>
      </c>
      <c r="C50" t="s">
        <v>49</v>
      </c>
      <c r="D50">
        <v>0.15</v>
      </c>
    </row>
    <row r="51" spans="1:4">
      <c r="A51" t="s">
        <v>114</v>
      </c>
      <c r="B51" t="s">
        <v>40</v>
      </c>
      <c r="C51" t="s">
        <v>49</v>
      </c>
      <c r="D51">
        <v>0.01</v>
      </c>
    </row>
    <row r="52" spans="1:4">
      <c r="A52" t="s">
        <v>115</v>
      </c>
      <c r="B52" t="s">
        <v>40</v>
      </c>
      <c r="C52" t="s">
        <v>49</v>
      </c>
      <c r="D52">
        <v>0.15</v>
      </c>
    </row>
    <row r="53" spans="1:4">
      <c r="A53" t="s">
        <v>116</v>
      </c>
      <c r="B53" t="s">
        <v>40</v>
      </c>
      <c r="C53" t="s">
        <v>49</v>
      </c>
      <c r="D53">
        <v>0.15</v>
      </c>
    </row>
    <row r="54" spans="1:4">
      <c r="A54" t="s">
        <v>118</v>
      </c>
      <c r="B54" t="s">
        <v>40</v>
      </c>
      <c r="C54" t="s">
        <v>49</v>
      </c>
      <c r="D54">
        <v>0.15</v>
      </c>
    </row>
    <row r="55" spans="1:4">
      <c r="A55" t="s">
        <v>119</v>
      </c>
      <c r="B55" t="s">
        <v>40</v>
      </c>
      <c r="C55" t="s">
        <v>49</v>
      </c>
      <c r="D55">
        <v>0.03</v>
      </c>
    </row>
    <row r="56" spans="1:4">
      <c r="A56" t="s">
        <v>120</v>
      </c>
      <c r="B56" t="s">
        <v>40</v>
      </c>
      <c r="C56" t="s">
        <v>49</v>
      </c>
      <c r="D56">
        <v>0.03</v>
      </c>
    </row>
    <row r="57" spans="1:4">
      <c r="A57" t="s">
        <v>121</v>
      </c>
      <c r="B57" t="s">
        <v>40</v>
      </c>
      <c r="C57" t="s">
        <v>49</v>
      </c>
      <c r="D57">
        <v>0.15</v>
      </c>
    </row>
    <row r="58" spans="1:4">
      <c r="A58" t="s">
        <v>122</v>
      </c>
      <c r="B58" t="s">
        <v>40</v>
      </c>
      <c r="C58" t="s">
        <v>49</v>
      </c>
      <c r="D58">
        <v>0.15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16"/>
  <sheetViews>
    <sheetView zoomScale="145" zoomScaleNormal="145" zoomScalePageLayoutView="145" workbookViewId="0">
      <selection activeCell="A2" sqref="A2"/>
    </sheetView>
  </sheetViews>
  <sheetFormatPr baseColWidth="10" defaultRowHeight="15" x14ac:dyDescent="0"/>
  <cols>
    <col min="1" max="1" width="18.1640625" customWidth="1"/>
    <col min="2" max="2" width="11.5" bestFit="1" customWidth="1"/>
    <col min="3" max="3" width="9.1640625" bestFit="1" customWidth="1"/>
    <col min="4" max="7" width="6.33203125" bestFit="1" customWidth="1"/>
    <col min="8" max="8" width="19.1640625" bestFit="1" customWidth="1"/>
  </cols>
  <sheetData>
    <row r="1" spans="1:7">
      <c r="A1" t="s">
        <v>131</v>
      </c>
    </row>
    <row r="2" spans="1:7">
      <c r="A2" t="s">
        <v>108</v>
      </c>
      <c r="B2" t="s">
        <v>9</v>
      </c>
      <c r="C2" t="s">
        <v>10</v>
      </c>
      <c r="D2">
        <v>2020</v>
      </c>
      <c r="E2">
        <v>2035</v>
      </c>
      <c r="F2">
        <v>2050</v>
      </c>
      <c r="G2">
        <v>2065</v>
      </c>
    </row>
    <row r="3" spans="1:7">
      <c r="A3" t="s">
        <v>121</v>
      </c>
      <c r="B3" t="s">
        <v>40</v>
      </c>
      <c r="C3" t="s">
        <v>45</v>
      </c>
      <c r="D3">
        <v>0.4</v>
      </c>
      <c r="E3">
        <v>0.8</v>
      </c>
      <c r="F3">
        <v>0.9</v>
      </c>
      <c r="G3">
        <v>1</v>
      </c>
    </row>
    <row r="4" spans="1:7">
      <c r="A4" t="s">
        <v>111</v>
      </c>
      <c r="B4" t="s">
        <v>40</v>
      </c>
      <c r="C4" t="s">
        <v>45</v>
      </c>
      <c r="D4">
        <v>1</v>
      </c>
      <c r="E4">
        <v>1.5</v>
      </c>
      <c r="F4">
        <v>1.25</v>
      </c>
      <c r="G4">
        <v>1</v>
      </c>
    </row>
    <row r="5" spans="1:7">
      <c r="A5" t="s">
        <v>122</v>
      </c>
      <c r="B5" t="s">
        <v>40</v>
      </c>
      <c r="C5" t="s">
        <v>45</v>
      </c>
      <c r="D5">
        <v>0.7</v>
      </c>
      <c r="E5">
        <v>0.7</v>
      </c>
      <c r="F5">
        <v>0.85</v>
      </c>
      <c r="G5">
        <v>1</v>
      </c>
    </row>
    <row r="6" spans="1:7">
      <c r="A6" t="s">
        <v>116</v>
      </c>
      <c r="B6" t="s">
        <v>40</v>
      </c>
      <c r="C6" t="s">
        <v>45</v>
      </c>
      <c r="D6">
        <v>1.8</v>
      </c>
      <c r="E6">
        <v>1.8</v>
      </c>
      <c r="F6">
        <v>1.5</v>
      </c>
      <c r="G6">
        <v>1.5</v>
      </c>
    </row>
    <row r="7" spans="1:7">
      <c r="A7" t="s">
        <v>110</v>
      </c>
      <c r="B7" t="s">
        <v>40</v>
      </c>
      <c r="C7" t="s">
        <v>45</v>
      </c>
      <c r="D7">
        <v>0</v>
      </c>
      <c r="E7">
        <v>0.05</v>
      </c>
      <c r="F7">
        <v>0.5</v>
      </c>
      <c r="G7">
        <v>1</v>
      </c>
    </row>
    <row r="8" spans="1:7">
      <c r="A8" t="s">
        <v>114</v>
      </c>
      <c r="B8" t="s">
        <v>40</v>
      </c>
      <c r="C8" t="s">
        <v>45</v>
      </c>
      <c r="D8">
        <v>0.4</v>
      </c>
      <c r="E8">
        <v>0.8</v>
      </c>
      <c r="F8">
        <v>0.9</v>
      </c>
      <c r="G8">
        <v>1</v>
      </c>
    </row>
    <row r="9" spans="1:7">
      <c r="A9" t="s">
        <v>112</v>
      </c>
      <c r="B9" t="s">
        <v>40</v>
      </c>
      <c r="C9" t="s">
        <v>45</v>
      </c>
      <c r="D9">
        <v>0.05</v>
      </c>
      <c r="E9">
        <v>0.35</v>
      </c>
      <c r="F9">
        <v>0.7</v>
      </c>
      <c r="G9">
        <v>1</v>
      </c>
    </row>
    <row r="10" spans="1:7">
      <c r="A10" t="s">
        <v>119</v>
      </c>
      <c r="B10" t="s">
        <v>40</v>
      </c>
      <c r="C10" t="s">
        <v>45</v>
      </c>
      <c r="D10">
        <v>0.01</v>
      </c>
      <c r="E10">
        <v>0.2</v>
      </c>
      <c r="F10">
        <v>0.6</v>
      </c>
      <c r="G10">
        <v>1</v>
      </c>
    </row>
    <row r="11" spans="1:7">
      <c r="A11" t="s">
        <v>109</v>
      </c>
      <c r="B11" t="s">
        <v>40</v>
      </c>
      <c r="C11" t="s">
        <v>45</v>
      </c>
      <c r="D11">
        <v>0.01</v>
      </c>
      <c r="E11">
        <v>0.2</v>
      </c>
      <c r="F11">
        <v>0.6</v>
      </c>
      <c r="G11">
        <v>1</v>
      </c>
    </row>
    <row r="12" spans="1:7">
      <c r="A12" t="s">
        <v>118</v>
      </c>
      <c r="B12" t="s">
        <v>40</v>
      </c>
      <c r="C12" t="s">
        <v>45</v>
      </c>
      <c r="D12">
        <v>0.1</v>
      </c>
      <c r="E12">
        <v>0.35</v>
      </c>
      <c r="F12">
        <v>0.6</v>
      </c>
      <c r="G12">
        <v>1</v>
      </c>
    </row>
    <row r="13" spans="1:7">
      <c r="A13" t="s">
        <v>120</v>
      </c>
      <c r="B13" t="s">
        <v>40</v>
      </c>
      <c r="C13" t="s">
        <v>45</v>
      </c>
      <c r="D13">
        <v>0.05</v>
      </c>
      <c r="E13">
        <v>0.1</v>
      </c>
      <c r="F13">
        <v>0.5</v>
      </c>
      <c r="G13">
        <v>1</v>
      </c>
    </row>
    <row r="14" spans="1:7">
      <c r="A14" t="s">
        <v>113</v>
      </c>
      <c r="B14" t="s">
        <v>40</v>
      </c>
      <c r="C14" t="s">
        <v>45</v>
      </c>
      <c r="D14">
        <v>0.3</v>
      </c>
      <c r="E14">
        <v>0.7</v>
      </c>
      <c r="F14">
        <v>0.85</v>
      </c>
      <c r="G14">
        <v>1</v>
      </c>
    </row>
    <row r="15" spans="1:7">
      <c r="A15" t="s">
        <v>117</v>
      </c>
      <c r="B15" t="s">
        <v>40</v>
      </c>
      <c r="C15" t="s">
        <v>45</v>
      </c>
      <c r="D15">
        <v>2.25</v>
      </c>
      <c r="E15">
        <v>2.25</v>
      </c>
      <c r="F15">
        <v>1.8</v>
      </c>
      <c r="G15">
        <v>1.5</v>
      </c>
    </row>
    <row r="16" spans="1:7">
      <c r="A16" t="s">
        <v>115</v>
      </c>
      <c r="B16" t="s">
        <v>40</v>
      </c>
      <c r="C16" t="s">
        <v>45</v>
      </c>
      <c r="D16">
        <v>2.5000000000000001E-2</v>
      </c>
      <c r="E16">
        <v>0.12</v>
      </c>
      <c r="F16">
        <v>0.6</v>
      </c>
      <c r="G16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A23.sector.csv</vt:lpstr>
      <vt:lpstr>A23.subsector_logit.csv</vt:lpstr>
      <vt:lpstr>A23.subsector_shrwt.csv</vt:lpstr>
      <vt:lpstr>A23.subsector_interp.csv</vt:lpstr>
      <vt:lpstr>A23.chp_elecratio.csv</vt:lpstr>
      <vt:lpstr>A23.globalinttech.csv</vt:lpstr>
      <vt:lpstr>A23.globaltech_shrwt.csv</vt:lpstr>
      <vt:lpstr>A23.globaltech_keyword.csv</vt:lpstr>
      <vt:lpstr>A23.globaltech_eff.csv</vt:lpstr>
      <vt:lpstr>A23.globaltech_capital.csv</vt:lpstr>
      <vt:lpstr>A23.globaltech_OMfixed.csv</vt:lpstr>
      <vt:lpstr>A23.globaltech_OMvar.csv</vt:lpstr>
      <vt:lpstr>A23.globaltech_retirement.csv</vt:lpstr>
      <vt:lpstr>A23.globaltech_co2capture.csv</vt:lpstr>
      <vt:lpstr>A23.subsector_shrwt_renew_R.csv</vt:lpstr>
      <vt:lpstr>A23.subsector_shrwt_nuc_R.csv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2014-03-11T11:18:30Z</dcterms:modified>
</cp:coreProperties>
</file>